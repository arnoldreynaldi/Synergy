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08"/>
  <workbookPr/>
  <mc:AlternateContent xmlns:mc="http://schemas.openxmlformats.org/markup-compatibility/2006">
    <mc:Choice Requires="x15">
      <x15ac:absPath xmlns:x15ac="http://schemas.microsoft.com/office/spreadsheetml/2010/11/ac" url="/Users/bennett.ta/Library/CloudStorage/OneDrive-wehi.edu.au/Groom Lab/3. Projects/1. Synergy (Syn)/Compliled data for modelling/CD8 data/"/>
    </mc:Choice>
  </mc:AlternateContent>
  <xr:revisionPtr revIDLastSave="3" documentId="13_ncr:1_{A66B9AB4-B29B-794F-8D54-C9AF13E8F779}" xr6:coauthVersionLast="47" xr6:coauthVersionMax="47" xr10:uidLastSave="{B39E81F7-9F18-4B67-8F20-BB4F5DE583AE}"/>
  <bookViews>
    <workbookView xWindow="10420" yWindow="4520" windowWidth="31280" windowHeight="18920" firstSheet="2" activeTab="2" xr2:uid="{6B8B4BA7-DC4F-C249-AB8D-61FDA605D1B1}"/>
  </bookViews>
  <sheets>
    <sheet name="Start here" sheetId="2" r:id="rId1"/>
    <sheet name="Data dictionary" sheetId="4" r:id="rId2"/>
    <sheet name="Processed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3" i="3" l="1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" i="3"/>
  <c r="AA3" i="3"/>
  <c r="AA4" i="3"/>
  <c r="AA5" i="3"/>
  <c r="AA6" i="3"/>
  <c r="AA7" i="3"/>
  <c r="AA8" i="3"/>
  <c r="AA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" i="3"/>
</calcChain>
</file>

<file path=xl/sharedStrings.xml><?xml version="1.0" encoding="utf-8"?>
<sst xmlns="http://schemas.openxmlformats.org/spreadsheetml/2006/main" count="409" uniqueCount="265">
  <si>
    <t>Experiment code:</t>
  </si>
  <si>
    <t>Syn.26.5</t>
  </si>
  <si>
    <t>Experiment date:</t>
  </si>
  <si>
    <t>Time point (day):</t>
  </si>
  <si>
    <t>Replicate number:</t>
  </si>
  <si>
    <t>Analysis (CD4 or CD8):</t>
  </si>
  <si>
    <t>CD8</t>
  </si>
  <si>
    <t>Exp label</t>
  </si>
  <si>
    <t>Mouse #</t>
  </si>
  <si>
    <t>Vaccine</t>
  </si>
  <si>
    <t>Sex</t>
  </si>
  <si>
    <t>HexaPro TM</t>
  </si>
  <si>
    <t>F</t>
  </si>
  <si>
    <t>HexaPro TMd21</t>
  </si>
  <si>
    <t>HexaPro SOL</t>
  </si>
  <si>
    <t>HexaPro -SP/TM (IC)</t>
  </si>
  <si>
    <t>Counting beads: CountBright Absolute Count</t>
  </si>
  <si>
    <t>REF: C36950</t>
  </si>
  <si>
    <t>Lot: 2466366</t>
  </si>
  <si>
    <t>0.5 x 10^5 beads/50 µL</t>
  </si>
  <si>
    <t>Beads were diluted 1:50 = 1000 beads/50 µL, or 20 beads/µL</t>
  </si>
  <si>
    <t xml:space="preserve">Pre-enrichment, 5 µL of cell pellet resuspension (total 100 µL) was taken for cell counts </t>
  </si>
  <si>
    <t xml:space="preserve">After staining with antibodies, the sample was re-suspended in 150 µL of diluted beads </t>
  </si>
  <si>
    <t>Cells/µL = Number of cells/number of beads x (150 µL/5 µL * 20 beads/µL)</t>
  </si>
  <si>
    <t>Core populations</t>
  </si>
  <si>
    <t>Category</t>
  </si>
  <si>
    <t>Term / Column Component</t>
  </si>
  <si>
    <t>Definition</t>
  </si>
  <si>
    <t>Core population</t>
  </si>
  <si>
    <t>Tetramer+ CD8 T cells</t>
  </si>
  <si>
    <t>Antigen-specific CD8 T cells identified using peptide–MHC tetramers</t>
  </si>
  <si>
    <t>Population type</t>
  </si>
  <si>
    <t>Memory</t>
  </si>
  <si>
    <t>CD127+ KLRG1− cells; memory-forming potential</t>
  </si>
  <si>
    <t>Effector</t>
  </si>
  <si>
    <t>CD127− KLRG1+ cells; terminal effector phenotype</t>
  </si>
  <si>
    <t>TCM: Central memory</t>
  </si>
  <si>
    <t xml:space="preserve">Lymphoid-homing memory cells </t>
  </si>
  <si>
    <t>TEM: Effector memory</t>
  </si>
  <si>
    <t xml:space="preserve">Memory T cells that circulate in the peripheral tissues and blood, providing immediate, rapid effector function </t>
  </si>
  <si>
    <t>Tscm: Stem cell memory</t>
  </si>
  <si>
    <t>Self-renewing memory population; give rise to Tcm and Tem; long-lived reservoir</t>
  </si>
  <si>
    <t>Tfh-like</t>
  </si>
  <si>
    <t xml:space="preserve">CXCR5+ PD-1+; follicular helper-like phenotype </t>
  </si>
  <si>
    <t>Interpreting column labels</t>
  </si>
  <si>
    <t>Term</t>
  </si>
  <si>
    <t>% (percentage)</t>
  </si>
  <si>
    <t>Proportion of the specified parent population</t>
  </si>
  <si>
    <t>Number</t>
  </si>
  <si>
    <t>Absolute cell count in the subset</t>
  </si>
  <si>
    <t>Number of cell events</t>
  </si>
  <si>
    <t xml:space="preserve">Number of bead events </t>
  </si>
  <si>
    <t>Cell/bead ratio</t>
  </si>
  <si>
    <t>Cells/µL</t>
  </si>
  <si>
    <t>Cells in total sample vol</t>
  </si>
  <si>
    <t>Total sample vol (µL)</t>
  </si>
  <si>
    <t>CD8 T cells (% of live lymphocytes)</t>
  </si>
  <si>
    <t>Number of CD8 T cells</t>
  </si>
  <si>
    <t>Tetramer+ (% of CD8)</t>
  </si>
  <si>
    <t>Number of tetramer+ cells</t>
  </si>
  <si>
    <t>CD127+ KLRG1- memory (% tetramer)</t>
  </si>
  <si>
    <t>Number of CD127+ KLRG1- memory</t>
  </si>
  <si>
    <t>CD62L+ CX3CR1- TCM (% memory)</t>
  </si>
  <si>
    <t>CD127+ CD62L+ CX3CR1- KLRG1- TCM (% tetramer)</t>
  </si>
  <si>
    <t>Number CD127+ CD62L+ CX3CR1-KLRG1- TCM</t>
  </si>
  <si>
    <t>PD-1+ CXCR5+ TFH like (% tetramer)</t>
  </si>
  <si>
    <t>Number of CXCR5+ PD-1+ CD127+ KLRG1- TFH like</t>
  </si>
  <si>
    <t>CD127+ KLRG1- CD62L+ TCF1+ SLAMF6+ Tscm (%TCM)</t>
  </si>
  <si>
    <t>CD127+ KLRG1- CD62L+ TCF1+ SLAMF6+ Tscm (% tetramer)</t>
  </si>
  <si>
    <t xml:space="preserve">Number of CD127+ KLRG1- TCF1+ SLAMF6+ Tscm </t>
  </si>
  <si>
    <t>KLRG1+ CD127- effector (% tetramer)</t>
  </si>
  <si>
    <t>Number of KLRG1+ CD127- effector</t>
  </si>
  <si>
    <t>CD62L- CX3CR1hi TEM (% memory)</t>
  </si>
  <si>
    <t>CD62L- CX3CR1hi TEM (% tetramer)</t>
  </si>
  <si>
    <t>Number CD62L- CX3CR1hi TEM</t>
  </si>
  <si>
    <t>31.1 %</t>
  </si>
  <si>
    <t>0.031 %</t>
  </si>
  <si>
    <t>93.2 %</t>
  </si>
  <si>
    <t>31.9 %</t>
  </si>
  <si>
    <t>29.7 %</t>
  </si>
  <si>
    <t>9.46 %</t>
  </si>
  <si>
    <t>100 %</t>
  </si>
  <si>
    <t>0 %</t>
  </si>
  <si>
    <t>11.6 %</t>
  </si>
  <si>
    <t>10.8 %</t>
  </si>
  <si>
    <t>0.023 %</t>
  </si>
  <si>
    <t>97.3 %</t>
  </si>
  <si>
    <t>22.2 %</t>
  </si>
  <si>
    <t>21.6 %</t>
  </si>
  <si>
    <t>6.76 %</t>
  </si>
  <si>
    <t>93.8 %</t>
  </si>
  <si>
    <t>20.3 %</t>
  </si>
  <si>
    <t>13.9 %</t>
  </si>
  <si>
    <t>13.5 %</t>
  </si>
  <si>
    <t>78.0 %</t>
  </si>
  <si>
    <t>32.6 %</t>
  </si>
  <si>
    <t>25.4 %</t>
  </si>
  <si>
    <t>1.69 %</t>
  </si>
  <si>
    <t>5.08 %</t>
  </si>
  <si>
    <t>19.6 %</t>
  </si>
  <si>
    <t>15.3 %</t>
  </si>
  <si>
    <t>32.2 %</t>
  </si>
  <si>
    <t>0.025 %</t>
  </si>
  <si>
    <t>92.2 %</t>
  </si>
  <si>
    <t>35.6 %</t>
  </si>
  <si>
    <t>32.8 %</t>
  </si>
  <si>
    <t>3.12 %</t>
  </si>
  <si>
    <t>95.2 %</t>
  </si>
  <si>
    <t>31.2 %</t>
  </si>
  <si>
    <t>18.6 %</t>
  </si>
  <si>
    <t>17.2 %</t>
  </si>
  <si>
    <t>30.0 %</t>
  </si>
  <si>
    <t>0.050 %</t>
  </si>
  <si>
    <t>86.5 %</t>
  </si>
  <si>
    <t>29.6 %</t>
  </si>
  <si>
    <t>25.6 %</t>
  </si>
  <si>
    <t>5.13 %</t>
  </si>
  <si>
    <t>97.5 %</t>
  </si>
  <si>
    <t>25.0 %</t>
  </si>
  <si>
    <t>1.92 %</t>
  </si>
  <si>
    <t>19.2 %</t>
  </si>
  <si>
    <t>31.4 %</t>
  </si>
  <si>
    <t>0.028 %</t>
  </si>
  <si>
    <t>84.1 %</t>
  </si>
  <si>
    <t>32.4 %</t>
  </si>
  <si>
    <t>27.3 %</t>
  </si>
  <si>
    <t>2.27 %</t>
  </si>
  <si>
    <t>91.7 %</t>
  </si>
  <si>
    <t>18.9 %</t>
  </si>
  <si>
    <t>15.9 %</t>
  </si>
  <si>
    <t>27.5 %</t>
  </si>
  <si>
    <t>96.6 %</t>
  </si>
  <si>
    <t>33.3 %</t>
  </si>
  <si>
    <t>94.7 %</t>
  </si>
  <si>
    <t>30.5 %</t>
  </si>
  <si>
    <t>10.5 %</t>
  </si>
  <si>
    <t>10.2 %</t>
  </si>
  <si>
    <t>26.6 %</t>
  </si>
  <si>
    <t>0.029 %</t>
  </si>
  <si>
    <t>91.6 %</t>
  </si>
  <si>
    <t>43.4 %</t>
  </si>
  <si>
    <t>39.8 %</t>
  </si>
  <si>
    <t>4.82 %</t>
  </si>
  <si>
    <t>97.0 %</t>
  </si>
  <si>
    <t>38.6 %</t>
  </si>
  <si>
    <t>15.8 %</t>
  </si>
  <si>
    <t>14.5 %</t>
  </si>
  <si>
    <t>27.0 %</t>
  </si>
  <si>
    <t>0.019 %</t>
  </si>
  <si>
    <t>91.4 %</t>
  </si>
  <si>
    <t>50.0 %</t>
  </si>
  <si>
    <t>45.7 %</t>
  </si>
  <si>
    <t>12.5 %</t>
  </si>
  <si>
    <t>11.4 %</t>
  </si>
  <si>
    <t>28.5 %</t>
  </si>
  <si>
    <t>0.022 %</t>
  </si>
  <si>
    <t>89.4 %</t>
  </si>
  <si>
    <t>31.0 %</t>
  </si>
  <si>
    <t>27.7 %</t>
  </si>
  <si>
    <t>12.8 %</t>
  </si>
  <si>
    <t>92.3 %</t>
  </si>
  <si>
    <t>25.5 %</t>
  </si>
  <si>
    <t>19.0 %</t>
  </si>
  <si>
    <t>17.0 %</t>
  </si>
  <si>
    <t>0.021 %</t>
  </si>
  <si>
    <t>92.0 %</t>
  </si>
  <si>
    <t>43.5 %</t>
  </si>
  <si>
    <t>40.0 %</t>
  </si>
  <si>
    <t>4.00 %</t>
  </si>
  <si>
    <t>86.7 %</t>
  </si>
  <si>
    <t>34.7 %</t>
  </si>
  <si>
    <t>13.0 %</t>
  </si>
  <si>
    <t>12.0 %</t>
  </si>
  <si>
    <t>28.0 %</t>
  </si>
  <si>
    <t>0.027 %</t>
  </si>
  <si>
    <t>87.5 %</t>
  </si>
  <si>
    <t>45.2 %</t>
  </si>
  <si>
    <t>39.6 %</t>
  </si>
  <si>
    <t>7.29 %</t>
  </si>
  <si>
    <t>97.4 %</t>
  </si>
  <si>
    <t>38.5 %</t>
  </si>
  <si>
    <t>11.9 %</t>
  </si>
  <si>
    <t>10.4 %</t>
  </si>
  <si>
    <t>26.9 %</t>
  </si>
  <si>
    <t>91.5 %</t>
  </si>
  <si>
    <t>43.1 %</t>
  </si>
  <si>
    <t>39.4 %</t>
  </si>
  <si>
    <t>12.7 %</t>
  </si>
  <si>
    <t>92.9 %</t>
  </si>
  <si>
    <t>36.6 %</t>
  </si>
  <si>
    <t>4.62 %</t>
  </si>
  <si>
    <t>4.23 %</t>
  </si>
  <si>
    <t>30.3 %</t>
  </si>
  <si>
    <t>0.016 %</t>
  </si>
  <si>
    <t>75.9 %</t>
  </si>
  <si>
    <t>41.5 %</t>
  </si>
  <si>
    <t>31.5 %</t>
  </si>
  <si>
    <t>5.56 %</t>
  </si>
  <si>
    <t>4.88 %</t>
  </si>
  <si>
    <t>3.70 %</t>
  </si>
  <si>
    <t>0.018 %</t>
  </si>
  <si>
    <t>60.0 %</t>
  </si>
  <si>
    <t>57.1 %</t>
  </si>
  <si>
    <t>6.35 %</t>
  </si>
  <si>
    <t>97.2 %</t>
  </si>
  <si>
    <t>55.6 %</t>
  </si>
  <si>
    <t>5.00 %</t>
  </si>
  <si>
    <t>4.76 %</t>
  </si>
  <si>
    <t>29.0 %</t>
  </si>
  <si>
    <t>0.020 %</t>
  </si>
  <si>
    <t>95.0 %</t>
  </si>
  <si>
    <t>47.5 %</t>
  </si>
  <si>
    <t>7.50 %</t>
  </si>
  <si>
    <t>45.0 %</t>
  </si>
  <si>
    <t>13.2 %</t>
  </si>
  <si>
    <t>29.1 %</t>
  </si>
  <si>
    <t>77.3 %</t>
  </si>
  <si>
    <t>39.2 %</t>
  </si>
  <si>
    <t>1.52 %</t>
  </si>
  <si>
    <t>28.8 %</t>
  </si>
  <si>
    <t>13.7 %</t>
  </si>
  <si>
    <t>10.6 %</t>
  </si>
  <si>
    <t>28.4 %</t>
  </si>
  <si>
    <t>0.017 %</t>
  </si>
  <si>
    <t>81.2 %</t>
  </si>
  <si>
    <t>27.1 %</t>
  </si>
  <si>
    <t>6.25 %</t>
  </si>
  <si>
    <t>15.4 %</t>
  </si>
  <si>
    <t>28.2 %</t>
  </si>
  <si>
    <t>93.5 %</t>
  </si>
  <si>
    <t>17.4 %</t>
  </si>
  <si>
    <t>16.3 %</t>
  </si>
  <si>
    <t>10.9 %</t>
  </si>
  <si>
    <t>15.2 %</t>
  </si>
  <si>
    <t>34.0 %</t>
  </si>
  <si>
    <t>7.62 %</t>
  </si>
  <si>
    <t>91.2 %</t>
  </si>
  <si>
    <t>29.5 %</t>
  </si>
  <si>
    <t>16.2 %</t>
  </si>
  <si>
    <t>28.6 %</t>
  </si>
  <si>
    <t>0.038 %</t>
  </si>
  <si>
    <t>94.2 %</t>
  </si>
  <si>
    <t>30.9 %</t>
  </si>
  <si>
    <t>5.04 %</t>
  </si>
  <si>
    <t>97.7 %</t>
  </si>
  <si>
    <t>30.2 %</t>
  </si>
  <si>
    <t>0.72 %</t>
  </si>
  <si>
    <t>0.049 %</t>
  </si>
  <si>
    <t>98.0 %</t>
  </si>
  <si>
    <t>37.9 %</t>
  </si>
  <si>
    <t>37.1 %</t>
  </si>
  <si>
    <t>5.94 %</t>
  </si>
  <si>
    <t>36.1 %</t>
  </si>
  <si>
    <t>14.9 %</t>
  </si>
  <si>
    <t>4.85 %</t>
  </si>
  <si>
    <t>15.5 %</t>
  </si>
  <si>
    <t>14.6 %</t>
  </si>
  <si>
    <t>0.042 %</t>
  </si>
  <si>
    <t>86.3 %</t>
  </si>
  <si>
    <t>26.7 %</t>
  </si>
  <si>
    <t>23.1 %</t>
  </si>
  <si>
    <t>8.55 %</t>
  </si>
  <si>
    <t>96.3 %</t>
  </si>
  <si>
    <t>0.85 %</t>
  </si>
  <si>
    <t>16.8 %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</si>
</sst>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2"/>
      <color theme="1"/>
      <name val="Aptos Narrow"/>
      <family val="2"/>
      <scheme val="minor"/>
    </font>
    <font>
      <b/>
      <i/>
      <sz val="12"/>
      <color theme="1"/>
      <name val="Helvetica"/>
      <family val="2"/>
    </font>
    <font>
      <sz val="12"/>
      <color theme="3" tint="0.499984740745262"/>
      <name val="Helvetica"/>
      <family val="2"/>
    </font>
    <font>
      <sz val="12"/>
      <color theme="3" tint="0.499984740745262"/>
      <name val="Aptos Narrow"/>
      <family val="2"/>
      <scheme val="minor"/>
    </font>
    <font>
      <sz val="10"/>
      <color theme="3" tint="0.499984740745262"/>
      <name val="Arial"/>
      <family val="2"/>
    </font>
    <font>
      <sz val="12"/>
      <color theme="5" tint="0.39997558519241921"/>
      <name val="Helvetica"/>
      <family val="2"/>
    </font>
    <font>
      <sz val="12"/>
      <color theme="5" tint="0.39997558519241921"/>
      <name val="Aptos Narrow"/>
      <family val="2"/>
      <scheme val="minor"/>
    </font>
    <font>
      <sz val="10"/>
      <color theme="5" tint="0.39997558519241921"/>
      <name val="Arial"/>
      <family val="2"/>
    </font>
    <font>
      <sz val="12"/>
      <color theme="6" tint="0.39997558519241921"/>
      <name val="Helvetica"/>
      <family val="2"/>
    </font>
    <font>
      <sz val="12"/>
      <color theme="6" tint="0.39997558519241921"/>
      <name val="Aptos Narrow"/>
      <family val="2"/>
      <scheme val="minor"/>
    </font>
    <font>
      <sz val="10"/>
      <color theme="6" tint="0.39997558519241921"/>
      <name val="Arial"/>
      <family val="2"/>
    </font>
    <font>
      <sz val="12"/>
      <color theme="8" tint="0.39997558519241921"/>
      <name val="Helvetica"/>
      <family val="2"/>
    </font>
    <font>
      <sz val="12"/>
      <color theme="8" tint="0.39997558519241921"/>
      <name val="Aptos Narrow"/>
      <family val="2"/>
      <scheme val="minor"/>
    </font>
    <font>
      <sz val="10"/>
      <color theme="8" tint="0.39997558519241921"/>
      <name val="Arial"/>
      <family val="2"/>
    </font>
    <font>
      <sz val="14"/>
      <color theme="1"/>
      <name val="Helvetica"/>
      <family val="2"/>
    </font>
    <font>
      <sz val="14"/>
      <color theme="1"/>
      <name val="Aptos Narrow"/>
      <family val="2"/>
      <scheme val="minor"/>
    </font>
    <font>
      <b/>
      <sz val="14"/>
      <color theme="1"/>
      <name val="Helvetica"/>
      <family val="2"/>
    </font>
    <font>
      <sz val="14"/>
      <color theme="3" tint="0.499984740745262"/>
      <name val="Aptos Narrow"/>
      <family val="2"/>
      <scheme val="minor"/>
    </font>
    <font>
      <sz val="14"/>
      <color theme="5" tint="0.39997558519241921"/>
      <name val="Aptos Narrow"/>
      <family val="2"/>
      <scheme val="minor"/>
    </font>
    <font>
      <sz val="14"/>
      <color theme="6" tint="0.39997558519241921"/>
      <name val="Aptos Narrow"/>
      <family val="2"/>
      <scheme val="minor"/>
    </font>
    <font>
      <sz val="14"/>
      <color theme="8" tint="0.39997558519241921"/>
      <name val="Aptos Narrow"/>
      <family val="2"/>
      <scheme val="minor"/>
    </font>
    <font>
      <sz val="12"/>
      <color rgb="FF000000"/>
      <name val="Helvetica"/>
      <family val="2"/>
    </font>
    <font>
      <sz val="16"/>
      <color rgb="FF000000"/>
      <name val="Helvetica"/>
      <family val="2"/>
    </font>
    <font>
      <b/>
      <sz val="12"/>
      <color rgb="FF000000"/>
      <name val="Helvetica"/>
      <family val="2"/>
    </font>
    <font>
      <b/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4" fillId="0" borderId="0" xfId="0" applyFont="1"/>
    <xf numFmtId="0" fontId="5" fillId="0" borderId="0" xfId="0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3" fillId="0" borderId="0" xfId="0" applyFont="1"/>
    <xf numFmtId="0" fontId="14" fillId="0" borderId="6" xfId="0" applyFont="1" applyBorder="1"/>
    <xf numFmtId="0" fontId="14" fillId="0" borderId="7" xfId="0" applyFont="1" applyBorder="1"/>
    <xf numFmtId="0" fontId="14" fillId="0" borderId="8" xfId="0" applyFont="1" applyBorder="1"/>
    <xf numFmtId="0" fontId="14" fillId="0" borderId="1" xfId="0" applyFont="1" applyBorder="1"/>
    <xf numFmtId="0" fontId="14" fillId="0" borderId="0" xfId="0" applyFont="1"/>
    <xf numFmtId="0" fontId="14" fillId="0" borderId="2" xfId="0" applyFont="1" applyBorder="1"/>
    <xf numFmtId="0" fontId="14" fillId="0" borderId="3" xfId="0" applyFont="1" applyBorder="1"/>
    <xf numFmtId="0" fontId="14" fillId="0" borderId="5" xfId="0" applyFont="1" applyBorder="1"/>
    <xf numFmtId="0" fontId="14" fillId="0" borderId="4" xfId="0" applyFont="1" applyBorder="1"/>
    <xf numFmtId="0" fontId="3" fillId="0" borderId="0" xfId="0" applyFont="1"/>
    <xf numFmtId="0" fontId="6" fillId="0" borderId="0" xfId="0" applyFont="1"/>
    <xf numFmtId="0" fontId="9" fillId="0" borderId="0" xfId="0" applyFont="1"/>
    <xf numFmtId="0" fontId="12" fillId="0" borderId="0" xfId="0" applyFont="1"/>
    <xf numFmtId="0" fontId="15" fillId="0" borderId="0" xfId="0" applyFont="1"/>
    <xf numFmtId="0" fontId="14" fillId="0" borderId="9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0" borderId="13" xfId="0" applyFont="1" applyBorder="1" applyAlignment="1">
      <alignment horizontal="center"/>
    </xf>
    <xf numFmtId="0" fontId="14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8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2" fillId="0" borderId="16" xfId="0" applyFont="1" applyBorder="1" applyAlignment="1">
      <alignment horizontal="center" wrapText="1"/>
    </xf>
    <xf numFmtId="0" fontId="16" fillId="0" borderId="18" xfId="0" applyFont="1" applyBorder="1" applyAlignment="1">
      <alignment horizontal="center"/>
    </xf>
    <xf numFmtId="0" fontId="16" fillId="0" borderId="19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5" xfId="0" applyFont="1" applyBorder="1" applyAlignment="1">
      <alignment horizontal="center" wrapText="1"/>
    </xf>
    <xf numFmtId="0" fontId="17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17" xfId="0" applyFont="1" applyBorder="1" applyAlignment="1">
      <alignment horizontal="center" wrapText="1"/>
    </xf>
    <xf numFmtId="0" fontId="17" fillId="0" borderId="14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9" fillId="0" borderId="12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19" fillId="0" borderId="14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20" fillId="0" borderId="12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24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10" xfId="0" applyFont="1" applyBorder="1" applyAlignment="1">
      <alignment horizontal="center"/>
    </xf>
    <xf numFmtId="14" fontId="14" fillId="0" borderId="12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2622A-3901-9A47-A543-46E4BA565C71}">
  <dimension ref="B1:G42"/>
  <sheetViews>
    <sheetView workbookViewId="0">
      <selection activeCell="B20" sqref="B20"/>
    </sheetView>
  </sheetViews>
  <sheetFormatPr defaultColWidth="10.875" defaultRowHeight="18.95"/>
  <cols>
    <col min="1" max="1" width="10.875" style="24"/>
    <col min="2" max="2" width="26.125" style="24" customWidth="1"/>
    <col min="3" max="3" width="24.125" style="24" customWidth="1"/>
    <col min="4" max="4" width="21.375" style="24" customWidth="1"/>
    <col min="5" max="6" width="10.875" style="24"/>
    <col min="7" max="7" width="18.625" style="24" customWidth="1"/>
    <col min="8" max="16384" width="10.875" style="24"/>
  </cols>
  <sheetData>
    <row r="1" spans="2:5" ht="20.100000000000001" thickBot="1"/>
    <row r="2" spans="2:5">
      <c r="B2" s="25" t="s">
        <v>0</v>
      </c>
      <c r="C2" s="78" t="s">
        <v>1</v>
      </c>
    </row>
    <row r="3" spans="2:5">
      <c r="B3" s="26" t="s">
        <v>2</v>
      </c>
      <c r="C3" s="79">
        <v>46141</v>
      </c>
    </row>
    <row r="4" spans="2:5">
      <c r="B4" s="26" t="s">
        <v>3</v>
      </c>
      <c r="C4" s="27">
        <v>60</v>
      </c>
    </row>
    <row r="5" spans="2:5">
      <c r="B5" s="26" t="s">
        <v>4</v>
      </c>
      <c r="C5" s="27">
        <v>2</v>
      </c>
    </row>
    <row r="6" spans="2:5" ht="20.100000000000001" thickBot="1">
      <c r="B6" s="28" t="s">
        <v>5</v>
      </c>
      <c r="C6" s="29" t="s">
        <v>6</v>
      </c>
    </row>
    <row r="7" spans="2:5" ht="18.75"/>
    <row r="8" spans="2:5" ht="18.75">
      <c r="B8" s="40" t="s">
        <v>7</v>
      </c>
      <c r="C8" s="40" t="s">
        <v>8</v>
      </c>
      <c r="D8" s="41" t="s">
        <v>9</v>
      </c>
      <c r="E8" s="42" t="s">
        <v>10</v>
      </c>
    </row>
    <row r="9" spans="2:5" ht="18.75">
      <c r="B9" s="43">
        <v>10433</v>
      </c>
      <c r="C9" s="43">
        <v>10433</v>
      </c>
      <c r="D9" s="44" t="s">
        <v>11</v>
      </c>
      <c r="E9" s="45" t="s">
        <v>12</v>
      </c>
    </row>
    <row r="10" spans="2:5" ht="18.75">
      <c r="B10" s="46">
        <v>10434</v>
      </c>
      <c r="C10" s="46">
        <v>10434</v>
      </c>
      <c r="D10" s="39" t="s">
        <v>11</v>
      </c>
      <c r="E10" s="47" t="s">
        <v>12</v>
      </c>
    </row>
    <row r="11" spans="2:5" ht="18.75">
      <c r="B11" s="46">
        <v>10435</v>
      </c>
      <c r="C11" s="46">
        <v>10435</v>
      </c>
      <c r="D11" s="39" t="s">
        <v>11</v>
      </c>
      <c r="E11" s="47" t="s">
        <v>12</v>
      </c>
    </row>
    <row r="12" spans="2:5" ht="18.75">
      <c r="B12" s="46">
        <v>10436</v>
      </c>
      <c r="C12" s="46">
        <v>10436</v>
      </c>
      <c r="D12" s="39" t="s">
        <v>11</v>
      </c>
      <c r="E12" s="47" t="s">
        <v>12</v>
      </c>
    </row>
    <row r="13" spans="2:5" ht="18.75">
      <c r="B13" s="46">
        <v>10437</v>
      </c>
      <c r="C13" s="46">
        <v>10437</v>
      </c>
      <c r="D13" s="39" t="s">
        <v>11</v>
      </c>
      <c r="E13" s="47" t="s">
        <v>12</v>
      </c>
    </row>
    <row r="14" spans="2:5" ht="18.75">
      <c r="B14" s="48">
        <v>10438</v>
      </c>
      <c r="C14" s="48">
        <v>10438</v>
      </c>
      <c r="D14" s="49" t="s">
        <v>11</v>
      </c>
      <c r="E14" s="50" t="s">
        <v>12</v>
      </c>
    </row>
    <row r="15" spans="2:5" ht="18.75">
      <c r="B15" s="51">
        <v>10439</v>
      </c>
      <c r="C15" s="51">
        <v>10439</v>
      </c>
      <c r="D15" s="30" t="s">
        <v>13</v>
      </c>
      <c r="E15" s="52" t="s">
        <v>12</v>
      </c>
    </row>
    <row r="16" spans="2:5" ht="18.75">
      <c r="B16" s="53">
        <v>10440</v>
      </c>
      <c r="C16" s="53">
        <v>10440</v>
      </c>
      <c r="D16" s="31" t="s">
        <v>13</v>
      </c>
      <c r="E16" s="54" t="s">
        <v>12</v>
      </c>
    </row>
    <row r="17" spans="2:5" ht="18.75">
      <c r="B17" s="53">
        <v>10441</v>
      </c>
      <c r="C17" s="53">
        <v>10441</v>
      </c>
      <c r="D17" s="31" t="s">
        <v>13</v>
      </c>
      <c r="E17" s="54" t="s">
        <v>12</v>
      </c>
    </row>
    <row r="18" spans="2:5" ht="18.75">
      <c r="B18" s="53">
        <v>10442</v>
      </c>
      <c r="C18" s="53">
        <v>10442</v>
      </c>
      <c r="D18" s="31" t="s">
        <v>13</v>
      </c>
      <c r="E18" s="54" t="s">
        <v>12</v>
      </c>
    </row>
    <row r="19" spans="2:5" ht="18.75">
      <c r="B19" s="53">
        <v>10443</v>
      </c>
      <c r="C19" s="53">
        <v>10443</v>
      </c>
      <c r="D19" s="31" t="s">
        <v>13</v>
      </c>
      <c r="E19" s="54" t="s">
        <v>12</v>
      </c>
    </row>
    <row r="20" spans="2:5" ht="18.75">
      <c r="B20" s="55">
        <v>10444</v>
      </c>
      <c r="C20" s="55">
        <v>10444</v>
      </c>
      <c r="D20" s="32" t="s">
        <v>13</v>
      </c>
      <c r="E20" s="56" t="s">
        <v>12</v>
      </c>
    </row>
    <row r="21" spans="2:5" ht="18.75">
      <c r="B21" s="57">
        <v>10445</v>
      </c>
      <c r="C21" s="57">
        <v>10445</v>
      </c>
      <c r="D21" s="33" t="s">
        <v>14</v>
      </c>
      <c r="E21" s="58" t="s">
        <v>12</v>
      </c>
    </row>
    <row r="22" spans="2:5" ht="18.75">
      <c r="B22" s="59">
        <v>10446</v>
      </c>
      <c r="C22" s="59">
        <v>10446</v>
      </c>
      <c r="D22" s="34" t="s">
        <v>14</v>
      </c>
      <c r="E22" s="60" t="s">
        <v>12</v>
      </c>
    </row>
    <row r="23" spans="2:5" ht="18.75">
      <c r="B23" s="59">
        <v>10447</v>
      </c>
      <c r="C23" s="59">
        <v>10447</v>
      </c>
      <c r="D23" s="34" t="s">
        <v>14</v>
      </c>
      <c r="E23" s="60" t="s">
        <v>12</v>
      </c>
    </row>
    <row r="24" spans="2:5" ht="18.75">
      <c r="B24" s="59">
        <v>10448</v>
      </c>
      <c r="C24" s="59">
        <v>10448</v>
      </c>
      <c r="D24" s="34" t="s">
        <v>14</v>
      </c>
      <c r="E24" s="60" t="s">
        <v>12</v>
      </c>
    </row>
    <row r="25" spans="2:5" ht="18.75">
      <c r="B25" s="59">
        <v>10449</v>
      </c>
      <c r="C25" s="59">
        <v>10449</v>
      </c>
      <c r="D25" s="34" t="s">
        <v>14</v>
      </c>
      <c r="E25" s="60" t="s">
        <v>12</v>
      </c>
    </row>
    <row r="26" spans="2:5" ht="18.75">
      <c r="B26" s="61">
        <v>10450</v>
      </c>
      <c r="C26" s="61">
        <v>10450</v>
      </c>
      <c r="D26" s="35" t="s">
        <v>14</v>
      </c>
      <c r="E26" s="62" t="s">
        <v>12</v>
      </c>
    </row>
    <row r="27" spans="2:5" ht="18.75">
      <c r="B27" s="63">
        <v>10451</v>
      </c>
      <c r="C27" s="63">
        <v>10451</v>
      </c>
      <c r="D27" s="36" t="s">
        <v>15</v>
      </c>
      <c r="E27" s="64" t="s">
        <v>12</v>
      </c>
    </row>
    <row r="28" spans="2:5" ht="18.75">
      <c r="B28" s="65">
        <v>10452</v>
      </c>
      <c r="C28" s="65">
        <v>10452</v>
      </c>
      <c r="D28" s="37" t="s">
        <v>15</v>
      </c>
      <c r="E28" s="66" t="s">
        <v>12</v>
      </c>
    </row>
    <row r="29" spans="2:5" ht="18.75">
      <c r="B29" s="65">
        <v>10453</v>
      </c>
      <c r="C29" s="65">
        <v>10453</v>
      </c>
      <c r="D29" s="37" t="s">
        <v>15</v>
      </c>
      <c r="E29" s="66" t="s">
        <v>12</v>
      </c>
    </row>
    <row r="30" spans="2:5" ht="18.75">
      <c r="B30" s="65">
        <v>10454</v>
      </c>
      <c r="C30" s="65">
        <v>10454</v>
      </c>
      <c r="D30" s="37" t="s">
        <v>15</v>
      </c>
      <c r="E30" s="66" t="s">
        <v>12</v>
      </c>
    </row>
    <row r="31" spans="2:5" ht="18.75">
      <c r="B31" s="65">
        <v>10455</v>
      </c>
      <c r="C31" s="65">
        <v>10455</v>
      </c>
      <c r="D31" s="37" t="s">
        <v>15</v>
      </c>
      <c r="E31" s="66" t="s">
        <v>12</v>
      </c>
    </row>
    <row r="32" spans="2:5" ht="18.75">
      <c r="B32" s="67">
        <v>10456</v>
      </c>
      <c r="C32" s="67">
        <v>10456</v>
      </c>
      <c r="D32" s="38" t="s">
        <v>15</v>
      </c>
      <c r="E32" s="68" t="s">
        <v>12</v>
      </c>
    </row>
    <row r="33" spans="2:7" ht="18.75"/>
    <row r="34" spans="2:7">
      <c r="B34" s="11" t="s">
        <v>16</v>
      </c>
      <c r="C34" s="12"/>
      <c r="D34" s="13"/>
    </row>
    <row r="35" spans="2:7">
      <c r="B35" s="14" t="s">
        <v>17</v>
      </c>
      <c r="C35" s="15"/>
      <c r="D35" s="16"/>
    </row>
    <row r="36" spans="2:7">
      <c r="B36" s="14" t="s">
        <v>18</v>
      </c>
      <c r="C36" s="15"/>
      <c r="D36" s="16"/>
    </row>
    <row r="37" spans="2:7" ht="20.100000000000001" thickBot="1">
      <c r="B37" s="17" t="s">
        <v>19</v>
      </c>
      <c r="C37" s="18"/>
      <c r="D37" s="19"/>
    </row>
    <row r="38" spans="2:7" ht="20.100000000000001" thickBot="1"/>
    <row r="39" spans="2:7">
      <c r="B39" s="11" t="s">
        <v>20</v>
      </c>
      <c r="C39" s="12"/>
      <c r="D39" s="12"/>
      <c r="E39" s="12"/>
      <c r="F39" s="12"/>
      <c r="G39" s="13"/>
    </row>
    <row r="40" spans="2:7">
      <c r="B40" s="14" t="s">
        <v>21</v>
      </c>
      <c r="C40" s="15"/>
      <c r="D40" s="15"/>
      <c r="E40" s="15"/>
      <c r="F40" s="15"/>
      <c r="G40" s="16"/>
    </row>
    <row r="41" spans="2:7">
      <c r="B41" s="14" t="s">
        <v>22</v>
      </c>
      <c r="C41" s="15"/>
      <c r="D41" s="15"/>
      <c r="E41" s="15"/>
      <c r="F41" s="15"/>
      <c r="G41" s="16"/>
    </row>
    <row r="42" spans="2:7" ht="20.100000000000001" thickBot="1">
      <c r="B42" s="17" t="s">
        <v>23</v>
      </c>
      <c r="C42" s="18"/>
      <c r="D42" s="18"/>
      <c r="E42" s="18"/>
      <c r="F42" s="18"/>
      <c r="G42" s="1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06838-CFE3-4F40-A32F-904F985441DA}">
  <dimension ref="A1:D14"/>
  <sheetViews>
    <sheetView workbookViewId="0">
      <selection activeCell="D23" sqref="D23"/>
    </sheetView>
  </sheetViews>
  <sheetFormatPr defaultColWidth="11" defaultRowHeight="15.95"/>
  <cols>
    <col min="2" max="2" width="27.375" customWidth="1"/>
    <col min="3" max="3" width="28" customWidth="1"/>
    <col min="4" max="4" width="100" customWidth="1"/>
  </cols>
  <sheetData>
    <row r="1" spans="1:4" ht="21">
      <c r="A1" s="69"/>
      <c r="B1" s="70" t="s">
        <v>24</v>
      </c>
      <c r="C1" s="69"/>
      <c r="D1" s="69"/>
    </row>
    <row r="2" spans="1:4">
      <c r="A2" s="69"/>
      <c r="B2" s="71" t="s">
        <v>25</v>
      </c>
      <c r="C2" s="71" t="s">
        <v>26</v>
      </c>
      <c r="D2" s="71" t="s">
        <v>27</v>
      </c>
    </row>
    <row r="3" spans="1:4">
      <c r="A3" s="69"/>
      <c r="B3" s="69" t="s">
        <v>28</v>
      </c>
      <c r="C3" s="69" t="s">
        <v>29</v>
      </c>
      <c r="D3" s="69" t="s">
        <v>30</v>
      </c>
    </row>
    <row r="4" spans="1:4">
      <c r="A4" s="69"/>
      <c r="B4" s="69" t="s">
        <v>31</v>
      </c>
      <c r="C4" s="69" t="s">
        <v>32</v>
      </c>
      <c r="D4" s="69" t="s">
        <v>33</v>
      </c>
    </row>
    <row r="5" spans="1:4">
      <c r="A5" s="69"/>
      <c r="B5" s="69"/>
      <c r="C5" s="69" t="s">
        <v>34</v>
      </c>
      <c r="D5" s="69" t="s">
        <v>35</v>
      </c>
    </row>
    <row r="6" spans="1:4">
      <c r="A6" s="69"/>
      <c r="B6" s="69"/>
      <c r="C6" s="69" t="s">
        <v>36</v>
      </c>
      <c r="D6" s="69" t="s">
        <v>37</v>
      </c>
    </row>
    <row r="7" spans="1:4">
      <c r="A7" s="69"/>
      <c r="B7" s="69"/>
      <c r="C7" s="69" t="s">
        <v>38</v>
      </c>
      <c r="D7" s="69" t="s">
        <v>39</v>
      </c>
    </row>
    <row r="8" spans="1:4">
      <c r="A8" s="69"/>
      <c r="B8" s="69"/>
      <c r="C8" s="69" t="s">
        <v>40</v>
      </c>
      <c r="D8" s="69" t="s">
        <v>41</v>
      </c>
    </row>
    <row r="9" spans="1:4">
      <c r="A9" s="69"/>
      <c r="B9" s="69"/>
      <c r="C9" s="69" t="s">
        <v>42</v>
      </c>
      <c r="D9" s="69" t="s">
        <v>43</v>
      </c>
    </row>
    <row r="10" spans="1:4">
      <c r="A10" s="69"/>
      <c r="B10" s="69"/>
      <c r="C10" s="69"/>
      <c r="D10" s="69"/>
    </row>
    <row r="11" spans="1:4" ht="21">
      <c r="A11" s="69"/>
      <c r="B11" s="70" t="s">
        <v>44</v>
      </c>
      <c r="C11" s="70"/>
      <c r="D11" s="69"/>
    </row>
    <row r="12" spans="1:4">
      <c r="A12" s="69"/>
      <c r="B12" s="71" t="s">
        <v>45</v>
      </c>
      <c r="C12" s="71" t="s">
        <v>27</v>
      </c>
      <c r="D12" s="69"/>
    </row>
    <row r="13" spans="1:4">
      <c r="A13" s="69"/>
      <c r="B13" s="69" t="s">
        <v>46</v>
      </c>
      <c r="C13" s="69" t="s">
        <v>47</v>
      </c>
      <c r="D13" s="69"/>
    </row>
    <row r="14" spans="1:4">
      <c r="A14" s="69"/>
      <c r="B14" s="69" t="s">
        <v>48</v>
      </c>
      <c r="C14" s="69" t="s">
        <v>49</v>
      </c>
      <c r="D14" s="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7DC0B-0577-6A47-B217-4CBF1F0A5454}">
  <dimension ref="A1:AA25"/>
  <sheetViews>
    <sheetView tabSelected="1" workbookViewId="0">
      <selection activeCell="F2" sqref="F2"/>
    </sheetView>
  </sheetViews>
  <sheetFormatPr defaultColWidth="10.875" defaultRowHeight="15.95"/>
  <cols>
    <col min="1" max="1" width="15.5" style="74" customWidth="1"/>
    <col min="2" max="2" width="24.5" style="74" customWidth="1"/>
    <col min="3" max="16384" width="10.875" style="74"/>
  </cols>
  <sheetData>
    <row r="1" spans="1:27" s="72" customFormat="1" ht="119.1">
      <c r="A1" s="72" t="s">
        <v>7</v>
      </c>
      <c r="B1" s="72" t="s">
        <v>9</v>
      </c>
      <c r="C1" s="72" t="s">
        <v>50</v>
      </c>
      <c r="D1" s="72" t="s">
        <v>51</v>
      </c>
      <c r="E1" s="72" t="s">
        <v>52</v>
      </c>
      <c r="F1" s="72" t="s">
        <v>53</v>
      </c>
      <c r="G1" s="72" t="s">
        <v>54</v>
      </c>
      <c r="H1" s="72" t="s">
        <v>55</v>
      </c>
      <c r="I1" s="72" t="s">
        <v>56</v>
      </c>
      <c r="J1" s="72" t="s">
        <v>57</v>
      </c>
      <c r="K1" s="72" t="s">
        <v>58</v>
      </c>
      <c r="L1" s="1" t="s">
        <v>59</v>
      </c>
      <c r="M1" s="72" t="s">
        <v>60</v>
      </c>
      <c r="N1" s="72" t="s">
        <v>61</v>
      </c>
      <c r="O1" s="72" t="s">
        <v>62</v>
      </c>
      <c r="P1" s="72" t="s">
        <v>63</v>
      </c>
      <c r="Q1" s="72" t="s">
        <v>64</v>
      </c>
      <c r="R1" s="72" t="s">
        <v>65</v>
      </c>
      <c r="S1" s="72" t="s">
        <v>66</v>
      </c>
      <c r="T1" s="72" t="s">
        <v>67</v>
      </c>
      <c r="U1" s="72" t="s">
        <v>68</v>
      </c>
      <c r="V1" s="72" t="s">
        <v>69</v>
      </c>
      <c r="W1" s="72" t="s">
        <v>70</v>
      </c>
      <c r="X1" s="72" t="s">
        <v>71</v>
      </c>
      <c r="Y1" s="72" t="s">
        <v>72</v>
      </c>
      <c r="Z1" s="72" t="s">
        <v>73</v>
      </c>
      <c r="AA1" s="72" t="s">
        <v>74</v>
      </c>
    </row>
    <row r="2" spans="1:27" s="73" customFormat="1" ht="20.100000000000001" customHeight="1">
      <c r="A2" s="2">
        <v>10433</v>
      </c>
      <c r="B2" s="3" t="s">
        <v>11</v>
      </c>
      <c r="C2" s="73">
        <v>41159</v>
      </c>
      <c r="D2" s="73">
        <v>1151</v>
      </c>
      <c r="E2" s="73">
        <f>C2/D2</f>
        <v>35.759339704604692</v>
      </c>
      <c r="F2" s="73">
        <f>(150/5*20)*E2</f>
        <v>21455.603822762816</v>
      </c>
      <c r="G2" s="73">
        <f>F2*H2</f>
        <v>2145560.3822762817</v>
      </c>
      <c r="H2" s="73">
        <v>100</v>
      </c>
      <c r="I2" s="20" t="s">
        <v>75</v>
      </c>
      <c r="J2" s="73">
        <f>I2*G2</f>
        <v>667269.27888792357</v>
      </c>
      <c r="K2" s="20" t="s">
        <v>76</v>
      </c>
      <c r="L2" s="73">
        <f>K2*J2</f>
        <v>206.8534764552563</v>
      </c>
      <c r="M2" s="20" t="s">
        <v>77</v>
      </c>
      <c r="N2" s="73">
        <f>M2*L2</f>
        <v>192.78744005629889</v>
      </c>
      <c r="O2" s="20" t="s">
        <v>78</v>
      </c>
      <c r="P2" s="20" t="s">
        <v>79</v>
      </c>
      <c r="Q2" s="73">
        <f>P2*L2</f>
        <v>61.43548250721112</v>
      </c>
      <c r="R2" s="4" t="s">
        <v>80</v>
      </c>
      <c r="S2" s="73">
        <f>R2*L2</f>
        <v>19.568338872667248</v>
      </c>
      <c r="T2" s="4" t="s">
        <v>81</v>
      </c>
      <c r="U2" s="4" t="s">
        <v>79</v>
      </c>
      <c r="V2" s="73">
        <f>U2*L2</f>
        <v>61.43548250721112</v>
      </c>
      <c r="W2" s="20" t="s">
        <v>82</v>
      </c>
      <c r="X2" s="73">
        <f>W2*L2</f>
        <v>0</v>
      </c>
      <c r="Y2" s="20" t="s">
        <v>83</v>
      </c>
      <c r="Z2" s="20" t="s">
        <v>84</v>
      </c>
      <c r="AA2" s="73">
        <f>Z2*L2</f>
        <v>22.340175457167678</v>
      </c>
    </row>
    <row r="3" spans="1:27" s="73" customFormat="1" ht="20.100000000000001" customHeight="1">
      <c r="A3" s="2">
        <v>10434</v>
      </c>
      <c r="B3" s="3" t="s">
        <v>11</v>
      </c>
      <c r="C3" s="73">
        <v>36341</v>
      </c>
      <c r="D3" s="73">
        <v>987</v>
      </c>
      <c r="E3" s="73">
        <f t="shared" ref="E3:E25" si="0">C3/D3</f>
        <v>36.819655521783183</v>
      </c>
      <c r="F3" s="73">
        <f t="shared" ref="F3:F25" si="1">(150/5*20)*E3</f>
        <v>22091.793313069909</v>
      </c>
      <c r="G3" s="73">
        <f t="shared" ref="G3:G25" si="2">F3*H3</f>
        <v>2209179.3313069912</v>
      </c>
      <c r="H3" s="73">
        <v>100</v>
      </c>
      <c r="I3" s="20" t="s">
        <v>79</v>
      </c>
      <c r="J3" s="73">
        <f t="shared" ref="J3:J25" si="3">I3*G3</f>
        <v>656126.26139817631</v>
      </c>
      <c r="K3" s="20" t="s">
        <v>85</v>
      </c>
      <c r="L3" s="73">
        <f t="shared" ref="L3:L25" si="4">K3*J3</f>
        <v>150.90904012158055</v>
      </c>
      <c r="M3" s="20" t="s">
        <v>86</v>
      </c>
      <c r="N3" s="73">
        <f t="shared" ref="N3:N25" si="5">M3*L3</f>
        <v>146.83449603829786</v>
      </c>
      <c r="O3" s="20" t="s">
        <v>87</v>
      </c>
      <c r="P3" s="20" t="s">
        <v>88</v>
      </c>
      <c r="Q3" s="73">
        <f t="shared" ref="Q3:Q25" si="6">P3*L3</f>
        <v>32.596352666261396</v>
      </c>
      <c r="R3" s="4" t="s">
        <v>89</v>
      </c>
      <c r="S3" s="73">
        <f t="shared" ref="S3:S25" si="7">R3*L3</f>
        <v>10.201451112218844</v>
      </c>
      <c r="T3" s="4" t="s">
        <v>90</v>
      </c>
      <c r="U3" s="4" t="s">
        <v>91</v>
      </c>
      <c r="V3" s="73">
        <f t="shared" ref="V3:V25" si="8">U3*L3</f>
        <v>30.634535144680854</v>
      </c>
      <c r="W3" s="20" t="s">
        <v>82</v>
      </c>
      <c r="X3" s="73">
        <f t="shared" ref="X3:X25" si="9">W3*L3</f>
        <v>0</v>
      </c>
      <c r="Y3" s="20" t="s">
        <v>92</v>
      </c>
      <c r="Z3" s="20" t="s">
        <v>93</v>
      </c>
      <c r="AA3" s="73">
        <f t="shared" ref="AA3:AA25" si="10">Z3*L3</f>
        <v>20.372720416413376</v>
      </c>
    </row>
    <row r="4" spans="1:27" s="73" customFormat="1" ht="20.100000000000001" customHeight="1">
      <c r="A4" s="2">
        <v>10435</v>
      </c>
      <c r="B4" s="3" t="s">
        <v>11</v>
      </c>
      <c r="C4" s="73">
        <v>39280</v>
      </c>
      <c r="D4" s="73">
        <v>1052</v>
      </c>
      <c r="E4" s="73">
        <f t="shared" si="0"/>
        <v>37.338403041825096</v>
      </c>
      <c r="F4" s="73">
        <f t="shared" si="1"/>
        <v>22403.041825095057</v>
      </c>
      <c r="G4" s="73">
        <f t="shared" si="2"/>
        <v>2240304.1825095057</v>
      </c>
      <c r="H4" s="73">
        <v>100</v>
      </c>
      <c r="I4" s="20" t="s">
        <v>79</v>
      </c>
      <c r="J4" s="73">
        <f t="shared" si="3"/>
        <v>665370.34220532316</v>
      </c>
      <c r="K4" s="20" t="s">
        <v>85</v>
      </c>
      <c r="L4" s="73">
        <f t="shared" si="4"/>
        <v>153.03517870722433</v>
      </c>
      <c r="M4" s="20" t="s">
        <v>94</v>
      </c>
      <c r="N4" s="73">
        <f t="shared" si="5"/>
        <v>119.36743939163499</v>
      </c>
      <c r="O4" s="20" t="s">
        <v>95</v>
      </c>
      <c r="P4" s="20" t="s">
        <v>96</v>
      </c>
      <c r="Q4" s="73">
        <f t="shared" si="6"/>
        <v>38.87093539163498</v>
      </c>
      <c r="R4" s="4" t="s">
        <v>97</v>
      </c>
      <c r="S4" s="73">
        <f t="shared" si="7"/>
        <v>2.5862945201520908</v>
      </c>
      <c r="T4" s="4" t="s">
        <v>81</v>
      </c>
      <c r="U4" s="4" t="s">
        <v>96</v>
      </c>
      <c r="V4" s="73">
        <f t="shared" si="8"/>
        <v>38.87093539163498</v>
      </c>
      <c r="W4" s="20" t="s">
        <v>98</v>
      </c>
      <c r="X4" s="73">
        <f t="shared" si="9"/>
        <v>7.774187078326996</v>
      </c>
      <c r="Y4" s="20" t="s">
        <v>99</v>
      </c>
      <c r="Z4" s="20" t="s">
        <v>100</v>
      </c>
      <c r="AA4" s="73">
        <f t="shared" si="10"/>
        <v>23.414382342205322</v>
      </c>
    </row>
    <row r="5" spans="1:27" s="73" customFormat="1" ht="20.100000000000001" customHeight="1">
      <c r="A5" s="2">
        <v>10436</v>
      </c>
      <c r="B5" s="3" t="s">
        <v>11</v>
      </c>
      <c r="C5" s="73">
        <v>27534</v>
      </c>
      <c r="D5" s="73">
        <v>979</v>
      </c>
      <c r="E5" s="73">
        <f t="shared" si="0"/>
        <v>28.124616956077631</v>
      </c>
      <c r="F5" s="73">
        <f t="shared" si="1"/>
        <v>16874.770173646579</v>
      </c>
      <c r="G5" s="73">
        <f t="shared" si="2"/>
        <v>1687477.0173646579</v>
      </c>
      <c r="H5" s="73">
        <v>100</v>
      </c>
      <c r="I5" s="20" t="s">
        <v>101</v>
      </c>
      <c r="J5" s="73">
        <f t="shared" si="3"/>
        <v>543367.59959141992</v>
      </c>
      <c r="K5" s="20" t="s">
        <v>102</v>
      </c>
      <c r="L5" s="73">
        <f t="shared" si="4"/>
        <v>135.84189989785497</v>
      </c>
      <c r="M5" s="20" t="s">
        <v>103</v>
      </c>
      <c r="N5" s="73">
        <f t="shared" si="5"/>
        <v>125.2462317058223</v>
      </c>
      <c r="O5" s="20" t="s">
        <v>104</v>
      </c>
      <c r="P5" s="20" t="s">
        <v>105</v>
      </c>
      <c r="Q5" s="73">
        <f t="shared" si="6"/>
        <v>44.556143166496433</v>
      </c>
      <c r="R5" s="4" t="s">
        <v>106</v>
      </c>
      <c r="S5" s="73">
        <f t="shared" si="7"/>
        <v>4.2382672768130751</v>
      </c>
      <c r="T5" s="4" t="s">
        <v>107</v>
      </c>
      <c r="U5" s="4" t="s">
        <v>108</v>
      </c>
      <c r="V5" s="73">
        <f t="shared" si="8"/>
        <v>42.382672768130753</v>
      </c>
      <c r="W5" s="20" t="s">
        <v>82</v>
      </c>
      <c r="X5" s="73">
        <f t="shared" si="9"/>
        <v>0</v>
      </c>
      <c r="Y5" s="20" t="s">
        <v>109</v>
      </c>
      <c r="Z5" s="20" t="s">
        <v>110</v>
      </c>
      <c r="AA5" s="73">
        <f t="shared" si="10"/>
        <v>23.364806782431053</v>
      </c>
    </row>
    <row r="6" spans="1:27" s="73" customFormat="1" ht="20.100000000000001" customHeight="1">
      <c r="A6" s="2">
        <v>10437</v>
      </c>
      <c r="B6" s="3" t="s">
        <v>11</v>
      </c>
      <c r="C6" s="73">
        <v>49031</v>
      </c>
      <c r="D6" s="73">
        <v>980</v>
      </c>
      <c r="E6" s="73">
        <f t="shared" si="0"/>
        <v>50.031632653061223</v>
      </c>
      <c r="F6" s="73">
        <f t="shared" si="1"/>
        <v>30018.979591836734</v>
      </c>
      <c r="G6" s="73">
        <f t="shared" si="2"/>
        <v>3001897.9591836734</v>
      </c>
      <c r="H6" s="73">
        <v>100</v>
      </c>
      <c r="I6" s="20" t="s">
        <v>111</v>
      </c>
      <c r="J6" s="73">
        <f t="shared" si="3"/>
        <v>900569.38775510201</v>
      </c>
      <c r="K6" s="20" t="s">
        <v>112</v>
      </c>
      <c r="L6" s="73">
        <f t="shared" si="4"/>
        <v>450.28469387755104</v>
      </c>
      <c r="M6" s="20" t="s">
        <v>113</v>
      </c>
      <c r="N6" s="73">
        <f t="shared" si="5"/>
        <v>389.49626020408164</v>
      </c>
      <c r="O6" s="20" t="s">
        <v>114</v>
      </c>
      <c r="P6" s="20" t="s">
        <v>115</v>
      </c>
      <c r="Q6" s="73">
        <f t="shared" si="6"/>
        <v>115.27288163265307</v>
      </c>
      <c r="R6" s="4" t="s">
        <v>116</v>
      </c>
      <c r="S6" s="73">
        <f t="shared" si="7"/>
        <v>23.099604795918367</v>
      </c>
      <c r="T6" s="4" t="s">
        <v>117</v>
      </c>
      <c r="U6" s="4" t="s">
        <v>118</v>
      </c>
      <c r="V6" s="73">
        <f t="shared" si="8"/>
        <v>112.57117346938776</v>
      </c>
      <c r="W6" s="20" t="s">
        <v>119</v>
      </c>
      <c r="X6" s="73">
        <f t="shared" si="9"/>
        <v>8.6454661224489797</v>
      </c>
      <c r="Y6" s="20" t="s">
        <v>87</v>
      </c>
      <c r="Z6" s="20" t="s">
        <v>120</v>
      </c>
      <c r="AA6" s="73">
        <f t="shared" si="10"/>
        <v>86.454661224489797</v>
      </c>
    </row>
    <row r="7" spans="1:27" s="73" customFormat="1" ht="20.100000000000001" customHeight="1">
      <c r="A7" s="2">
        <v>10438</v>
      </c>
      <c r="B7" s="3" t="s">
        <v>11</v>
      </c>
      <c r="C7" s="73">
        <v>30901</v>
      </c>
      <c r="D7" s="73">
        <v>982</v>
      </c>
      <c r="E7" s="73">
        <f t="shared" si="0"/>
        <v>31.467413441955195</v>
      </c>
      <c r="F7" s="73">
        <f t="shared" si="1"/>
        <v>18880.448065173117</v>
      </c>
      <c r="G7" s="73">
        <f t="shared" si="2"/>
        <v>1888044.8065173118</v>
      </c>
      <c r="H7" s="73">
        <v>100</v>
      </c>
      <c r="I7" s="20" t="s">
        <v>121</v>
      </c>
      <c r="J7" s="73">
        <f t="shared" si="3"/>
        <v>592846.06924643589</v>
      </c>
      <c r="K7" s="20" t="s">
        <v>122</v>
      </c>
      <c r="L7" s="73">
        <f t="shared" si="4"/>
        <v>165.99689938900204</v>
      </c>
      <c r="M7" s="20" t="s">
        <v>123</v>
      </c>
      <c r="N7" s="73">
        <f t="shared" si="5"/>
        <v>139.60339238615072</v>
      </c>
      <c r="O7" s="20" t="s">
        <v>124</v>
      </c>
      <c r="P7" s="20" t="s">
        <v>125</v>
      </c>
      <c r="Q7" s="73">
        <f t="shared" si="6"/>
        <v>45.317153533197562</v>
      </c>
      <c r="R7" s="4" t="s">
        <v>126</v>
      </c>
      <c r="S7" s="73">
        <f t="shared" si="7"/>
        <v>3.7681296161303464</v>
      </c>
      <c r="T7" s="4" t="s">
        <v>127</v>
      </c>
      <c r="U7" s="4" t="s">
        <v>118</v>
      </c>
      <c r="V7" s="73">
        <f t="shared" si="8"/>
        <v>41.49922484725051</v>
      </c>
      <c r="W7" s="20" t="s">
        <v>82</v>
      </c>
      <c r="X7" s="73">
        <f t="shared" si="9"/>
        <v>0</v>
      </c>
      <c r="Y7" s="20" t="s">
        <v>128</v>
      </c>
      <c r="Z7" s="20" t="s">
        <v>129</v>
      </c>
      <c r="AA7" s="73">
        <f t="shared" si="10"/>
        <v>26.393507002851326</v>
      </c>
    </row>
    <row r="8" spans="1:27" s="75" customFormat="1" ht="20.100000000000001" customHeight="1">
      <c r="A8" s="5">
        <v>10439</v>
      </c>
      <c r="B8" s="5" t="s">
        <v>13</v>
      </c>
      <c r="C8" s="75">
        <v>31173</v>
      </c>
      <c r="D8" s="75">
        <v>986</v>
      </c>
      <c r="E8" s="75">
        <f t="shared" si="0"/>
        <v>31.615618661257606</v>
      </c>
      <c r="F8" s="75">
        <f t="shared" si="1"/>
        <v>18969.371196754564</v>
      </c>
      <c r="G8" s="75">
        <f t="shared" si="2"/>
        <v>1896937.1196754563</v>
      </c>
      <c r="H8" s="75">
        <v>100</v>
      </c>
      <c r="I8" s="21" t="s">
        <v>130</v>
      </c>
      <c r="J8" s="75">
        <f t="shared" si="3"/>
        <v>521657.70791075053</v>
      </c>
      <c r="K8" s="21" t="s">
        <v>102</v>
      </c>
      <c r="L8" s="75">
        <f t="shared" si="4"/>
        <v>130.41442697768764</v>
      </c>
      <c r="M8" s="21" t="s">
        <v>131</v>
      </c>
      <c r="N8" s="75">
        <f t="shared" si="5"/>
        <v>125.98033646044625</v>
      </c>
      <c r="O8" s="21" t="s">
        <v>132</v>
      </c>
      <c r="P8" s="21" t="s">
        <v>101</v>
      </c>
      <c r="Q8" s="75">
        <f t="shared" si="6"/>
        <v>41.993445486815418</v>
      </c>
      <c r="R8" s="6" t="s">
        <v>98</v>
      </c>
      <c r="S8" s="75">
        <f t="shared" si="7"/>
        <v>6.6250528904665318</v>
      </c>
      <c r="T8" s="6" t="s">
        <v>133</v>
      </c>
      <c r="U8" s="6" t="s">
        <v>134</v>
      </c>
      <c r="V8" s="75">
        <f t="shared" si="8"/>
        <v>39.776400228194731</v>
      </c>
      <c r="W8" s="21" t="s">
        <v>82</v>
      </c>
      <c r="X8" s="75">
        <f t="shared" si="9"/>
        <v>0</v>
      </c>
      <c r="Y8" s="21" t="s">
        <v>135</v>
      </c>
      <c r="Z8" s="21" t="s">
        <v>136</v>
      </c>
      <c r="AA8" s="75">
        <f t="shared" si="10"/>
        <v>13.302271551724138</v>
      </c>
    </row>
    <row r="9" spans="1:27" s="75" customFormat="1" ht="20.100000000000001" customHeight="1">
      <c r="A9" s="5">
        <v>10440</v>
      </c>
      <c r="B9" s="5" t="s">
        <v>13</v>
      </c>
      <c r="C9" s="75">
        <v>34874</v>
      </c>
      <c r="D9" s="75">
        <v>990</v>
      </c>
      <c r="E9" s="75">
        <f t="shared" si="0"/>
        <v>35.226262626262624</v>
      </c>
      <c r="F9" s="75">
        <f t="shared" si="1"/>
        <v>21135.757575757576</v>
      </c>
      <c r="G9" s="75">
        <f t="shared" si="2"/>
        <v>2113575.7575757578</v>
      </c>
      <c r="H9" s="75">
        <v>100</v>
      </c>
      <c r="I9" s="21" t="s">
        <v>137</v>
      </c>
      <c r="J9" s="75">
        <f t="shared" si="3"/>
        <v>562211.15151515161</v>
      </c>
      <c r="K9" s="21" t="s">
        <v>138</v>
      </c>
      <c r="L9" s="75">
        <f t="shared" si="4"/>
        <v>163.04123393939398</v>
      </c>
      <c r="M9" s="21" t="s">
        <v>139</v>
      </c>
      <c r="N9" s="75">
        <f t="shared" si="5"/>
        <v>149.34577028848489</v>
      </c>
      <c r="O9" s="21" t="s">
        <v>140</v>
      </c>
      <c r="P9" s="21" t="s">
        <v>141</v>
      </c>
      <c r="Q9" s="75">
        <f t="shared" si="6"/>
        <v>64.890411107878805</v>
      </c>
      <c r="R9" s="6" t="s">
        <v>142</v>
      </c>
      <c r="S9" s="75">
        <f t="shared" si="7"/>
        <v>7.8585874758787897</v>
      </c>
      <c r="T9" s="6" t="s">
        <v>143</v>
      </c>
      <c r="U9" s="6" t="s">
        <v>144</v>
      </c>
      <c r="V9" s="75">
        <f t="shared" si="8"/>
        <v>62.933916300606079</v>
      </c>
      <c r="W9" s="21" t="s">
        <v>82</v>
      </c>
      <c r="X9" s="75">
        <f t="shared" si="9"/>
        <v>0</v>
      </c>
      <c r="Y9" s="21" t="s">
        <v>145</v>
      </c>
      <c r="Z9" s="21" t="s">
        <v>146</v>
      </c>
      <c r="AA9" s="75">
        <f t="shared" si="10"/>
        <v>23.640978921212124</v>
      </c>
    </row>
    <row r="10" spans="1:27" s="75" customFormat="1" ht="20.100000000000001" customHeight="1">
      <c r="A10" s="5">
        <v>10441</v>
      </c>
      <c r="B10" s="5" t="s">
        <v>13</v>
      </c>
      <c r="C10" s="75">
        <v>21730</v>
      </c>
      <c r="D10" s="75">
        <v>991</v>
      </c>
      <c r="E10" s="75">
        <f t="shared" si="0"/>
        <v>21.927346115035316</v>
      </c>
      <c r="F10" s="75">
        <f t="shared" si="1"/>
        <v>13156.40766902119</v>
      </c>
      <c r="G10" s="75">
        <f t="shared" si="2"/>
        <v>1315640.7669021189</v>
      </c>
      <c r="H10" s="75">
        <v>100</v>
      </c>
      <c r="I10" s="21" t="s">
        <v>147</v>
      </c>
      <c r="J10" s="75">
        <f t="shared" si="3"/>
        <v>355223.00706357212</v>
      </c>
      <c r="K10" s="21" t="s">
        <v>148</v>
      </c>
      <c r="L10" s="75">
        <f t="shared" si="4"/>
        <v>67.492371342078712</v>
      </c>
      <c r="M10" s="21" t="s">
        <v>149</v>
      </c>
      <c r="N10" s="75">
        <f t="shared" si="5"/>
        <v>61.688027406659948</v>
      </c>
      <c r="O10" s="21" t="s">
        <v>150</v>
      </c>
      <c r="P10" s="21" t="s">
        <v>151</v>
      </c>
      <c r="Q10" s="75">
        <f t="shared" si="6"/>
        <v>30.844013703329974</v>
      </c>
      <c r="R10" s="6" t="s">
        <v>82</v>
      </c>
      <c r="S10" s="75">
        <f t="shared" si="7"/>
        <v>0</v>
      </c>
      <c r="T10" s="6" t="s">
        <v>81</v>
      </c>
      <c r="U10" s="6" t="s">
        <v>151</v>
      </c>
      <c r="V10" s="75">
        <f t="shared" si="8"/>
        <v>30.844013703329974</v>
      </c>
      <c r="W10" s="21" t="s">
        <v>82</v>
      </c>
      <c r="X10" s="75">
        <f t="shared" si="9"/>
        <v>0</v>
      </c>
      <c r="Y10" s="21" t="s">
        <v>152</v>
      </c>
      <c r="Z10" s="21" t="s">
        <v>153</v>
      </c>
      <c r="AA10" s="75">
        <f t="shared" si="10"/>
        <v>7.6941303329969735</v>
      </c>
    </row>
    <row r="11" spans="1:27" s="75" customFormat="1" ht="20.100000000000001" customHeight="1">
      <c r="A11" s="5">
        <v>10442</v>
      </c>
      <c r="B11" s="5" t="s">
        <v>13</v>
      </c>
      <c r="C11" s="75">
        <v>23009</v>
      </c>
      <c r="D11" s="75">
        <v>982</v>
      </c>
      <c r="E11" s="75">
        <f t="shared" si="0"/>
        <v>23.430753564154784</v>
      </c>
      <c r="F11" s="75">
        <f t="shared" si="1"/>
        <v>14058.45213849287</v>
      </c>
      <c r="G11" s="75">
        <f t="shared" si="2"/>
        <v>1405845.213849287</v>
      </c>
      <c r="H11" s="75">
        <v>100</v>
      </c>
      <c r="I11" s="21" t="s">
        <v>154</v>
      </c>
      <c r="J11" s="75">
        <f t="shared" si="3"/>
        <v>400665.88594704674</v>
      </c>
      <c r="K11" s="21" t="s">
        <v>155</v>
      </c>
      <c r="L11" s="75">
        <f t="shared" si="4"/>
        <v>88.146494908350292</v>
      </c>
      <c r="M11" s="21" t="s">
        <v>156</v>
      </c>
      <c r="N11" s="75">
        <f t="shared" si="5"/>
        <v>78.802966448065163</v>
      </c>
      <c r="O11" s="21" t="s">
        <v>157</v>
      </c>
      <c r="P11" s="21" t="s">
        <v>158</v>
      </c>
      <c r="Q11" s="75">
        <f t="shared" si="6"/>
        <v>24.416579089613034</v>
      </c>
      <c r="R11" s="6" t="s">
        <v>159</v>
      </c>
      <c r="S11" s="75">
        <f t="shared" si="7"/>
        <v>11.282751348268837</v>
      </c>
      <c r="T11" s="6" t="s">
        <v>160</v>
      </c>
      <c r="U11" s="6" t="s">
        <v>161</v>
      </c>
      <c r="V11" s="75">
        <f t="shared" si="8"/>
        <v>22.477356201629323</v>
      </c>
      <c r="W11" s="21" t="s">
        <v>82</v>
      </c>
      <c r="X11" s="75">
        <f t="shared" si="9"/>
        <v>0</v>
      </c>
      <c r="Y11" s="21" t="s">
        <v>162</v>
      </c>
      <c r="Z11" s="21" t="s">
        <v>163</v>
      </c>
      <c r="AA11" s="75">
        <f t="shared" si="10"/>
        <v>14.984904134419551</v>
      </c>
    </row>
    <row r="12" spans="1:27" s="75" customFormat="1" ht="20.100000000000001" customHeight="1">
      <c r="A12" s="5">
        <v>10443</v>
      </c>
      <c r="B12" s="5" t="s">
        <v>13</v>
      </c>
      <c r="C12" s="75">
        <v>41776</v>
      </c>
      <c r="D12" s="75">
        <v>986</v>
      </c>
      <c r="E12" s="75">
        <f t="shared" si="0"/>
        <v>42.369168356997974</v>
      </c>
      <c r="F12" s="75">
        <f t="shared" si="1"/>
        <v>25421.501014198784</v>
      </c>
      <c r="G12" s="75">
        <f t="shared" si="2"/>
        <v>2542150.1014198782</v>
      </c>
      <c r="H12" s="75">
        <v>100</v>
      </c>
      <c r="I12" s="21" t="s">
        <v>158</v>
      </c>
      <c r="J12" s="75">
        <f t="shared" si="3"/>
        <v>704175.57809330628</v>
      </c>
      <c r="K12" s="21" t="s">
        <v>164</v>
      </c>
      <c r="L12" s="75">
        <f t="shared" si="4"/>
        <v>147.87687139959434</v>
      </c>
      <c r="M12" s="21" t="s">
        <v>165</v>
      </c>
      <c r="N12" s="75">
        <f t="shared" si="5"/>
        <v>136.04672168762679</v>
      </c>
      <c r="O12" s="21" t="s">
        <v>166</v>
      </c>
      <c r="P12" s="21" t="s">
        <v>167</v>
      </c>
      <c r="Q12" s="75">
        <f t="shared" si="6"/>
        <v>59.150748559837737</v>
      </c>
      <c r="R12" s="6" t="s">
        <v>168</v>
      </c>
      <c r="S12" s="75">
        <f t="shared" si="7"/>
        <v>5.9150748559837734</v>
      </c>
      <c r="T12" s="6" t="s">
        <v>169</v>
      </c>
      <c r="U12" s="6" t="s">
        <v>170</v>
      </c>
      <c r="V12" s="75">
        <f t="shared" si="8"/>
        <v>51.313274375659233</v>
      </c>
      <c r="W12" s="21" t="s">
        <v>82</v>
      </c>
      <c r="X12" s="75">
        <f t="shared" si="9"/>
        <v>0</v>
      </c>
      <c r="Y12" s="21" t="s">
        <v>171</v>
      </c>
      <c r="Z12" s="21" t="s">
        <v>172</v>
      </c>
      <c r="AA12" s="75">
        <f t="shared" si="10"/>
        <v>17.745224567951318</v>
      </c>
    </row>
    <row r="13" spans="1:27" s="75" customFormat="1" ht="20.100000000000001" customHeight="1">
      <c r="A13" s="5">
        <v>10444</v>
      </c>
      <c r="B13" s="5" t="s">
        <v>13</v>
      </c>
      <c r="C13" s="75">
        <v>33225</v>
      </c>
      <c r="D13" s="75">
        <v>985</v>
      </c>
      <c r="E13" s="75">
        <f t="shared" si="0"/>
        <v>33.730964467005073</v>
      </c>
      <c r="F13" s="75">
        <f t="shared" si="1"/>
        <v>20238.578680203045</v>
      </c>
      <c r="G13" s="75">
        <f t="shared" si="2"/>
        <v>2023857.8680203045</v>
      </c>
      <c r="H13" s="75">
        <v>100</v>
      </c>
      <c r="I13" s="21" t="s">
        <v>173</v>
      </c>
      <c r="J13" s="75">
        <f t="shared" si="3"/>
        <v>566680.20304568531</v>
      </c>
      <c r="K13" s="21" t="s">
        <v>174</v>
      </c>
      <c r="L13" s="75">
        <f t="shared" si="4"/>
        <v>153.00365482233502</v>
      </c>
      <c r="M13" s="21" t="s">
        <v>175</v>
      </c>
      <c r="N13" s="75">
        <f t="shared" si="5"/>
        <v>133.87819796954315</v>
      </c>
      <c r="O13" s="21" t="s">
        <v>176</v>
      </c>
      <c r="P13" s="21" t="s">
        <v>177</v>
      </c>
      <c r="Q13" s="75">
        <f t="shared" si="6"/>
        <v>60.589447309644669</v>
      </c>
      <c r="R13" s="6" t="s">
        <v>178</v>
      </c>
      <c r="S13" s="75">
        <f t="shared" si="7"/>
        <v>11.153966436548224</v>
      </c>
      <c r="T13" s="6" t="s">
        <v>179</v>
      </c>
      <c r="U13" s="6" t="s">
        <v>180</v>
      </c>
      <c r="V13" s="75">
        <f t="shared" si="8"/>
        <v>58.906407106598984</v>
      </c>
      <c r="W13" s="21" t="s">
        <v>82</v>
      </c>
      <c r="X13" s="75">
        <f t="shared" si="9"/>
        <v>0</v>
      </c>
      <c r="Y13" s="21" t="s">
        <v>181</v>
      </c>
      <c r="Z13" s="21" t="s">
        <v>182</v>
      </c>
      <c r="AA13" s="75">
        <f t="shared" si="10"/>
        <v>15.912380101522842</v>
      </c>
    </row>
    <row r="14" spans="1:27" s="76" customFormat="1" ht="20.100000000000001" customHeight="1">
      <c r="A14" s="7">
        <v>10445</v>
      </c>
      <c r="B14" s="7" t="s">
        <v>14</v>
      </c>
      <c r="C14" s="76">
        <v>32080</v>
      </c>
      <c r="D14" s="76">
        <v>983</v>
      </c>
      <c r="E14" s="76">
        <f t="shared" si="0"/>
        <v>32.634791454730419</v>
      </c>
      <c r="F14" s="76">
        <f t="shared" si="1"/>
        <v>19580.874872838252</v>
      </c>
      <c r="G14" s="76">
        <f t="shared" si="2"/>
        <v>1958087.4872838252</v>
      </c>
      <c r="H14" s="76">
        <v>100</v>
      </c>
      <c r="I14" s="22" t="s">
        <v>183</v>
      </c>
      <c r="J14" s="76">
        <f t="shared" si="3"/>
        <v>526725.53407934902</v>
      </c>
      <c r="K14" s="22" t="s">
        <v>138</v>
      </c>
      <c r="L14" s="76">
        <f t="shared" si="4"/>
        <v>152.75040488301121</v>
      </c>
      <c r="M14" s="22" t="s">
        <v>184</v>
      </c>
      <c r="N14" s="76">
        <f t="shared" si="5"/>
        <v>139.76662046795528</v>
      </c>
      <c r="O14" s="22" t="s">
        <v>185</v>
      </c>
      <c r="P14" s="22" t="s">
        <v>186</v>
      </c>
      <c r="Q14" s="76">
        <f t="shared" si="6"/>
        <v>60.183659523906421</v>
      </c>
      <c r="R14" s="8" t="s">
        <v>187</v>
      </c>
      <c r="S14" s="76">
        <f t="shared" si="7"/>
        <v>19.399301420142425</v>
      </c>
      <c r="T14" s="8" t="s">
        <v>188</v>
      </c>
      <c r="U14" s="8" t="s">
        <v>189</v>
      </c>
      <c r="V14" s="76">
        <f t="shared" si="8"/>
        <v>55.9066481871821</v>
      </c>
      <c r="W14" s="22" t="s">
        <v>82</v>
      </c>
      <c r="X14" s="76">
        <f t="shared" si="9"/>
        <v>0</v>
      </c>
      <c r="Y14" s="22" t="s">
        <v>190</v>
      </c>
      <c r="Z14" s="22" t="s">
        <v>191</v>
      </c>
      <c r="AA14" s="76">
        <f t="shared" si="10"/>
        <v>6.461342126551374</v>
      </c>
    </row>
    <row r="15" spans="1:27" s="76" customFormat="1" ht="20.100000000000001" customHeight="1">
      <c r="A15" s="7">
        <v>10446</v>
      </c>
      <c r="B15" s="7" t="s">
        <v>14</v>
      </c>
      <c r="C15" s="76">
        <v>34038</v>
      </c>
      <c r="D15" s="76">
        <v>987</v>
      </c>
      <c r="E15" s="76">
        <f t="shared" si="0"/>
        <v>34.486322188449847</v>
      </c>
      <c r="F15" s="76">
        <f t="shared" si="1"/>
        <v>20691.793313069909</v>
      </c>
      <c r="G15" s="76">
        <f t="shared" si="2"/>
        <v>2069179.3313069909</v>
      </c>
      <c r="H15" s="76">
        <v>100</v>
      </c>
      <c r="I15" s="22" t="s">
        <v>192</v>
      </c>
      <c r="J15" s="76">
        <f t="shared" si="3"/>
        <v>626961.33738601825</v>
      </c>
      <c r="K15" s="22" t="s">
        <v>193</v>
      </c>
      <c r="L15" s="76">
        <f t="shared" si="4"/>
        <v>100.31381398176293</v>
      </c>
      <c r="M15" s="22" t="s">
        <v>194</v>
      </c>
      <c r="N15" s="76">
        <f t="shared" si="5"/>
        <v>76.138184812158073</v>
      </c>
      <c r="O15" s="22" t="s">
        <v>195</v>
      </c>
      <c r="P15" s="22" t="s">
        <v>196</v>
      </c>
      <c r="Q15" s="76">
        <f t="shared" si="6"/>
        <v>31.598851404255324</v>
      </c>
      <c r="R15" s="8" t="s">
        <v>197</v>
      </c>
      <c r="S15" s="76">
        <f t="shared" si="7"/>
        <v>5.577448057386019</v>
      </c>
      <c r="T15" s="8" t="s">
        <v>81</v>
      </c>
      <c r="U15" s="8" t="s">
        <v>196</v>
      </c>
      <c r="V15" s="76">
        <f t="shared" si="8"/>
        <v>31.598851404255324</v>
      </c>
      <c r="W15" s="22" t="s">
        <v>82</v>
      </c>
      <c r="X15" s="76">
        <f t="shared" si="9"/>
        <v>0</v>
      </c>
      <c r="Y15" s="22" t="s">
        <v>198</v>
      </c>
      <c r="Z15" s="22" t="s">
        <v>199</v>
      </c>
      <c r="AA15" s="76">
        <f t="shared" si="10"/>
        <v>3.7116111173252282</v>
      </c>
    </row>
    <row r="16" spans="1:27" s="76" customFormat="1" ht="20.100000000000001" customHeight="1">
      <c r="A16" s="7">
        <v>10447</v>
      </c>
      <c r="B16" s="7" t="s">
        <v>14</v>
      </c>
      <c r="C16" s="76">
        <v>49339</v>
      </c>
      <c r="D16" s="76">
        <v>978</v>
      </c>
      <c r="E16" s="76">
        <f t="shared" si="0"/>
        <v>50.448875255623719</v>
      </c>
      <c r="F16" s="76">
        <f t="shared" si="1"/>
        <v>30269.32515337423</v>
      </c>
      <c r="G16" s="76">
        <f t="shared" si="2"/>
        <v>3026932.515337423</v>
      </c>
      <c r="H16" s="76">
        <v>100</v>
      </c>
      <c r="I16" s="22" t="s">
        <v>125</v>
      </c>
      <c r="J16" s="76">
        <f t="shared" si="3"/>
        <v>826352.57668711653</v>
      </c>
      <c r="K16" s="22" t="s">
        <v>200</v>
      </c>
      <c r="L16" s="76">
        <f t="shared" si="4"/>
        <v>148.74346380368098</v>
      </c>
      <c r="M16" s="22" t="s">
        <v>107</v>
      </c>
      <c r="N16" s="76">
        <f t="shared" si="5"/>
        <v>141.60377754110428</v>
      </c>
      <c r="O16" s="22" t="s">
        <v>201</v>
      </c>
      <c r="P16" s="22" t="s">
        <v>202</v>
      </c>
      <c r="Q16" s="76">
        <f t="shared" si="6"/>
        <v>84.932517831901833</v>
      </c>
      <c r="R16" s="8" t="s">
        <v>203</v>
      </c>
      <c r="S16" s="76">
        <f t="shared" si="7"/>
        <v>9.4452099515337427</v>
      </c>
      <c r="T16" s="8" t="s">
        <v>204</v>
      </c>
      <c r="U16" s="8" t="s">
        <v>205</v>
      </c>
      <c r="V16" s="76">
        <f t="shared" si="8"/>
        <v>82.70136587484663</v>
      </c>
      <c r="W16" s="22" t="s">
        <v>82</v>
      </c>
      <c r="X16" s="76">
        <f t="shared" si="9"/>
        <v>0</v>
      </c>
      <c r="Y16" s="22" t="s">
        <v>206</v>
      </c>
      <c r="Z16" s="22" t="s">
        <v>207</v>
      </c>
      <c r="AA16" s="76">
        <f t="shared" si="10"/>
        <v>7.0801888770552148</v>
      </c>
    </row>
    <row r="17" spans="1:27" s="76" customFormat="1" ht="20.100000000000001" customHeight="1">
      <c r="A17" s="7">
        <v>10448</v>
      </c>
      <c r="B17" s="7" t="s">
        <v>14</v>
      </c>
      <c r="C17" s="76">
        <v>53932</v>
      </c>
      <c r="D17" s="76">
        <v>986</v>
      </c>
      <c r="E17" s="76">
        <f t="shared" si="0"/>
        <v>54.697768762677484</v>
      </c>
      <c r="F17" s="76">
        <f t="shared" si="1"/>
        <v>32818.661257606487</v>
      </c>
      <c r="G17" s="76">
        <f t="shared" si="2"/>
        <v>3281866.1257606489</v>
      </c>
      <c r="H17" s="76">
        <v>100</v>
      </c>
      <c r="I17" s="22" t="s">
        <v>208</v>
      </c>
      <c r="J17" s="76">
        <f t="shared" si="3"/>
        <v>951741.17647058808</v>
      </c>
      <c r="K17" s="22" t="s">
        <v>209</v>
      </c>
      <c r="L17" s="76">
        <f t="shared" si="4"/>
        <v>190.34823529411761</v>
      </c>
      <c r="M17" s="22" t="s">
        <v>210</v>
      </c>
      <c r="N17" s="76">
        <f t="shared" si="5"/>
        <v>180.83082352941173</v>
      </c>
      <c r="O17" s="22" t="s">
        <v>150</v>
      </c>
      <c r="P17" s="22" t="s">
        <v>211</v>
      </c>
      <c r="Q17" s="76">
        <f t="shared" si="6"/>
        <v>90.415411764705865</v>
      </c>
      <c r="R17" s="8" t="s">
        <v>212</v>
      </c>
      <c r="S17" s="76">
        <f t="shared" si="7"/>
        <v>14.27611764705882</v>
      </c>
      <c r="T17" s="8" t="s">
        <v>133</v>
      </c>
      <c r="U17" s="8" t="s">
        <v>213</v>
      </c>
      <c r="V17" s="76">
        <f t="shared" si="8"/>
        <v>85.656705882352924</v>
      </c>
      <c r="W17" s="22" t="s">
        <v>82</v>
      </c>
      <c r="X17" s="76">
        <f t="shared" si="9"/>
        <v>0</v>
      </c>
      <c r="Y17" s="22" t="s">
        <v>214</v>
      </c>
      <c r="Z17" s="22" t="s">
        <v>152</v>
      </c>
      <c r="AA17" s="76">
        <f t="shared" si="10"/>
        <v>23.793529411764702</v>
      </c>
    </row>
    <row r="18" spans="1:27" s="76" customFormat="1" ht="20.100000000000001" customHeight="1">
      <c r="A18" s="7">
        <v>10449</v>
      </c>
      <c r="B18" s="7" t="s">
        <v>14</v>
      </c>
      <c r="C18" s="76">
        <v>37532</v>
      </c>
      <c r="D18" s="76">
        <v>977</v>
      </c>
      <c r="E18" s="76">
        <f t="shared" si="0"/>
        <v>38.415557830092119</v>
      </c>
      <c r="F18" s="76">
        <f t="shared" si="1"/>
        <v>23049.334698055271</v>
      </c>
      <c r="G18" s="76">
        <f t="shared" si="2"/>
        <v>2304933.469805527</v>
      </c>
      <c r="H18" s="76">
        <v>100</v>
      </c>
      <c r="I18" s="22" t="s">
        <v>215</v>
      </c>
      <c r="J18" s="76">
        <f t="shared" si="3"/>
        <v>670735.63971340831</v>
      </c>
      <c r="K18" s="22" t="s">
        <v>85</v>
      </c>
      <c r="L18" s="76">
        <f t="shared" si="4"/>
        <v>154.26919713408392</v>
      </c>
      <c r="M18" s="22" t="s">
        <v>216</v>
      </c>
      <c r="N18" s="76">
        <f t="shared" si="5"/>
        <v>119.25008938464687</v>
      </c>
      <c r="O18" s="22" t="s">
        <v>217</v>
      </c>
      <c r="P18" s="22" t="s">
        <v>192</v>
      </c>
      <c r="Q18" s="76">
        <f t="shared" si="6"/>
        <v>46.743566731627425</v>
      </c>
      <c r="R18" s="8" t="s">
        <v>218</v>
      </c>
      <c r="S18" s="76">
        <f t="shared" si="7"/>
        <v>2.3448917964380755</v>
      </c>
      <c r="T18" s="8" t="s">
        <v>210</v>
      </c>
      <c r="U18" s="8" t="s">
        <v>219</v>
      </c>
      <c r="V18" s="76">
        <f t="shared" si="8"/>
        <v>44.429528774616166</v>
      </c>
      <c r="W18" s="22" t="s">
        <v>218</v>
      </c>
      <c r="X18" s="76">
        <f t="shared" si="9"/>
        <v>2.3448917964380755</v>
      </c>
      <c r="Y18" s="22" t="s">
        <v>220</v>
      </c>
      <c r="Z18" s="22" t="s">
        <v>221</v>
      </c>
      <c r="AA18" s="76">
        <f t="shared" si="10"/>
        <v>16.352534896212894</v>
      </c>
    </row>
    <row r="19" spans="1:27" s="76" customFormat="1" ht="20.100000000000001" customHeight="1">
      <c r="A19" s="7">
        <v>10450</v>
      </c>
      <c r="B19" s="7" t="s">
        <v>14</v>
      </c>
      <c r="C19" s="76">
        <v>65812</v>
      </c>
      <c r="D19" s="76">
        <v>980</v>
      </c>
      <c r="E19" s="76">
        <f t="shared" si="0"/>
        <v>67.155102040816331</v>
      </c>
      <c r="F19" s="76">
        <f t="shared" si="1"/>
        <v>40293.0612244898</v>
      </c>
      <c r="G19" s="76">
        <f t="shared" si="2"/>
        <v>4029306.1224489799</v>
      </c>
      <c r="H19" s="76">
        <v>100</v>
      </c>
      <c r="I19" s="22" t="s">
        <v>222</v>
      </c>
      <c r="J19" s="76">
        <f t="shared" si="3"/>
        <v>1144322.9387755103</v>
      </c>
      <c r="K19" s="22" t="s">
        <v>223</v>
      </c>
      <c r="L19" s="76">
        <f t="shared" si="4"/>
        <v>194.53489959183676</v>
      </c>
      <c r="M19" s="22" t="s">
        <v>224</v>
      </c>
      <c r="N19" s="76">
        <f t="shared" si="5"/>
        <v>157.96233846857146</v>
      </c>
      <c r="O19" s="22" t="s">
        <v>132</v>
      </c>
      <c r="P19" s="22" t="s">
        <v>225</v>
      </c>
      <c r="Q19" s="76">
        <f t="shared" si="6"/>
        <v>52.718957789387765</v>
      </c>
      <c r="R19" s="8" t="s">
        <v>226</v>
      </c>
      <c r="S19" s="76">
        <f t="shared" si="7"/>
        <v>12.158431224489798</v>
      </c>
      <c r="T19" s="8" t="s">
        <v>81</v>
      </c>
      <c r="U19" s="8" t="s">
        <v>225</v>
      </c>
      <c r="V19" s="76">
        <f t="shared" si="8"/>
        <v>52.718957789387765</v>
      </c>
      <c r="W19" s="22" t="s">
        <v>82</v>
      </c>
      <c r="X19" s="76">
        <f t="shared" si="9"/>
        <v>0</v>
      </c>
      <c r="Y19" s="22" t="s">
        <v>227</v>
      </c>
      <c r="Z19" s="22" t="s">
        <v>152</v>
      </c>
      <c r="AA19" s="76">
        <f t="shared" si="10"/>
        <v>24.316862448979595</v>
      </c>
    </row>
    <row r="20" spans="1:27" s="77" customFormat="1" ht="20.100000000000001" customHeight="1">
      <c r="A20" s="9">
        <v>10451</v>
      </c>
      <c r="B20" s="9" t="s">
        <v>15</v>
      </c>
      <c r="C20" s="77">
        <v>56896</v>
      </c>
      <c r="D20" s="77">
        <v>979</v>
      </c>
      <c r="E20" s="77">
        <f t="shared" si="0"/>
        <v>58.116445352400412</v>
      </c>
      <c r="F20" s="77">
        <f t="shared" si="1"/>
        <v>34869.867211440243</v>
      </c>
      <c r="G20" s="77">
        <f t="shared" si="2"/>
        <v>3486986.7211440243</v>
      </c>
      <c r="H20" s="77">
        <v>100</v>
      </c>
      <c r="I20" s="23" t="s">
        <v>228</v>
      </c>
      <c r="J20" s="77">
        <f t="shared" si="3"/>
        <v>983330.25536261476</v>
      </c>
      <c r="K20" s="23" t="s">
        <v>122</v>
      </c>
      <c r="L20" s="77">
        <f t="shared" si="4"/>
        <v>275.3324715015321</v>
      </c>
      <c r="M20" s="23" t="s">
        <v>229</v>
      </c>
      <c r="N20" s="77">
        <f t="shared" si="5"/>
        <v>257.43586085393252</v>
      </c>
      <c r="O20" s="23" t="s">
        <v>230</v>
      </c>
      <c r="P20" s="23" t="s">
        <v>231</v>
      </c>
      <c r="Q20" s="77">
        <f t="shared" si="6"/>
        <v>44.879192854749732</v>
      </c>
      <c r="R20" s="10" t="s">
        <v>232</v>
      </c>
      <c r="S20" s="77">
        <f t="shared" si="7"/>
        <v>30.011239393666997</v>
      </c>
      <c r="T20" s="10" t="s">
        <v>81</v>
      </c>
      <c r="U20" s="10" t="s">
        <v>231</v>
      </c>
      <c r="V20" s="77">
        <f t="shared" si="8"/>
        <v>44.879192854749732</v>
      </c>
      <c r="W20" s="23" t="s">
        <v>82</v>
      </c>
      <c r="X20" s="77">
        <f t="shared" si="9"/>
        <v>0</v>
      </c>
      <c r="Y20" s="23" t="s">
        <v>231</v>
      </c>
      <c r="Z20" s="23" t="s">
        <v>233</v>
      </c>
      <c r="AA20" s="77">
        <f t="shared" si="10"/>
        <v>41.85053566823288</v>
      </c>
    </row>
    <row r="21" spans="1:27" s="77" customFormat="1" ht="20.100000000000001" customHeight="1">
      <c r="A21" s="9">
        <v>10452</v>
      </c>
      <c r="B21" s="9" t="s">
        <v>15</v>
      </c>
      <c r="C21" s="77">
        <v>57693</v>
      </c>
      <c r="D21" s="77">
        <v>982</v>
      </c>
      <c r="E21" s="77">
        <f t="shared" si="0"/>
        <v>58.750509164969451</v>
      </c>
      <c r="F21" s="77">
        <f t="shared" si="1"/>
        <v>35250.305498981674</v>
      </c>
      <c r="G21" s="77">
        <f t="shared" si="2"/>
        <v>3525030.5498981671</v>
      </c>
      <c r="H21" s="77">
        <v>100</v>
      </c>
      <c r="I21" s="23" t="s">
        <v>154</v>
      </c>
      <c r="J21" s="77">
        <f t="shared" si="3"/>
        <v>1004633.7067209776</v>
      </c>
      <c r="K21" s="23" t="s">
        <v>155</v>
      </c>
      <c r="L21" s="77">
        <f t="shared" si="4"/>
        <v>221.01941547861506</v>
      </c>
      <c r="M21" s="23" t="s">
        <v>107</v>
      </c>
      <c r="N21" s="77">
        <f t="shared" si="5"/>
        <v>210.41048353564153</v>
      </c>
      <c r="O21" s="23" t="s">
        <v>234</v>
      </c>
      <c r="P21" s="23" t="s">
        <v>124</v>
      </c>
      <c r="Q21" s="77">
        <f t="shared" si="6"/>
        <v>71.610290615071278</v>
      </c>
      <c r="R21" s="10" t="s">
        <v>235</v>
      </c>
      <c r="S21" s="77">
        <f t="shared" si="7"/>
        <v>16.84167945947047</v>
      </c>
      <c r="T21" s="10" t="s">
        <v>236</v>
      </c>
      <c r="U21" s="10" t="s">
        <v>237</v>
      </c>
      <c r="V21" s="77">
        <f t="shared" si="8"/>
        <v>65.200727566191432</v>
      </c>
      <c r="W21" s="23" t="s">
        <v>82</v>
      </c>
      <c r="X21" s="77">
        <f t="shared" si="9"/>
        <v>0</v>
      </c>
      <c r="Y21" s="23" t="s">
        <v>163</v>
      </c>
      <c r="Z21" s="23" t="s">
        <v>238</v>
      </c>
      <c r="AA21" s="77">
        <f t="shared" si="10"/>
        <v>35.805145307535639</v>
      </c>
    </row>
    <row r="22" spans="1:27" s="77" customFormat="1" ht="20.100000000000001" customHeight="1">
      <c r="A22" s="9">
        <v>10453</v>
      </c>
      <c r="B22" s="9" t="s">
        <v>15</v>
      </c>
      <c r="C22" s="77">
        <v>68757</v>
      </c>
      <c r="D22" s="77">
        <v>983</v>
      </c>
      <c r="E22" s="77">
        <f t="shared" si="0"/>
        <v>69.946083418107833</v>
      </c>
      <c r="F22" s="77">
        <f t="shared" si="1"/>
        <v>41967.6500508647</v>
      </c>
      <c r="G22" s="77">
        <f t="shared" si="2"/>
        <v>4196765.0050864704</v>
      </c>
      <c r="H22" s="77">
        <v>100</v>
      </c>
      <c r="I22" s="23" t="s">
        <v>239</v>
      </c>
      <c r="J22" s="77">
        <f t="shared" si="3"/>
        <v>1200274.7914547303</v>
      </c>
      <c r="K22" s="23" t="s">
        <v>240</v>
      </c>
      <c r="L22" s="77">
        <f t="shared" si="4"/>
        <v>456.10442075279752</v>
      </c>
      <c r="M22" s="23" t="s">
        <v>241</v>
      </c>
      <c r="N22" s="77">
        <f t="shared" si="5"/>
        <v>429.65036434913526</v>
      </c>
      <c r="O22" s="23" t="s">
        <v>105</v>
      </c>
      <c r="P22" s="23" t="s">
        <v>242</v>
      </c>
      <c r="Q22" s="77">
        <f t="shared" si="6"/>
        <v>140.93626601261442</v>
      </c>
      <c r="R22" s="10" t="s">
        <v>243</v>
      </c>
      <c r="S22" s="77">
        <f t="shared" si="7"/>
        <v>22.987662805940996</v>
      </c>
      <c r="T22" s="10" t="s">
        <v>244</v>
      </c>
      <c r="U22" s="10" t="s">
        <v>245</v>
      </c>
      <c r="V22" s="77">
        <f t="shared" si="8"/>
        <v>137.74353506734485</v>
      </c>
      <c r="W22" s="23" t="s">
        <v>246</v>
      </c>
      <c r="X22" s="77">
        <f t="shared" si="9"/>
        <v>3.283951829420142</v>
      </c>
      <c r="Y22" s="23" t="s">
        <v>134</v>
      </c>
      <c r="Z22" s="23" t="s">
        <v>219</v>
      </c>
      <c r="AA22" s="77">
        <f t="shared" si="10"/>
        <v>131.35807317680568</v>
      </c>
    </row>
    <row r="23" spans="1:27" s="77" customFormat="1" ht="20.100000000000001" customHeight="1">
      <c r="A23" s="9">
        <v>10454</v>
      </c>
      <c r="B23" s="9" t="s">
        <v>15</v>
      </c>
      <c r="C23" s="77">
        <v>55681</v>
      </c>
      <c r="D23" s="77">
        <v>984</v>
      </c>
      <c r="E23" s="77">
        <f t="shared" si="0"/>
        <v>56.586382113821138</v>
      </c>
      <c r="F23" s="77">
        <f t="shared" si="1"/>
        <v>33951.829268292684</v>
      </c>
      <c r="G23" s="77">
        <f t="shared" si="2"/>
        <v>3395182.9268292682</v>
      </c>
      <c r="H23" s="77">
        <v>100</v>
      </c>
      <c r="I23" s="23" t="s">
        <v>237</v>
      </c>
      <c r="J23" s="77">
        <f t="shared" si="3"/>
        <v>1001578.9634146341</v>
      </c>
      <c r="K23" s="23" t="s">
        <v>247</v>
      </c>
      <c r="L23" s="77">
        <f t="shared" si="4"/>
        <v>490.77369207317071</v>
      </c>
      <c r="M23" s="23" t="s">
        <v>248</v>
      </c>
      <c r="N23" s="77">
        <f t="shared" si="5"/>
        <v>480.95821823170729</v>
      </c>
      <c r="O23" s="23" t="s">
        <v>249</v>
      </c>
      <c r="P23" s="23" t="s">
        <v>250</v>
      </c>
      <c r="Q23" s="77">
        <f t="shared" si="6"/>
        <v>182.07703975914632</v>
      </c>
      <c r="R23" s="10" t="s">
        <v>251</v>
      </c>
      <c r="S23" s="77">
        <f t="shared" si="7"/>
        <v>29.15195730914634</v>
      </c>
      <c r="T23" s="10" t="s">
        <v>86</v>
      </c>
      <c r="U23" s="10" t="s">
        <v>252</v>
      </c>
      <c r="V23" s="77">
        <f t="shared" si="8"/>
        <v>177.16930283841461</v>
      </c>
      <c r="W23" s="23" t="s">
        <v>82</v>
      </c>
      <c r="X23" s="77">
        <f t="shared" si="9"/>
        <v>0</v>
      </c>
      <c r="Y23" s="23" t="s">
        <v>233</v>
      </c>
      <c r="Z23" s="23" t="s">
        <v>253</v>
      </c>
      <c r="AA23" s="77">
        <f t="shared" si="10"/>
        <v>73.125280118902438</v>
      </c>
    </row>
    <row r="24" spans="1:27" s="77" customFormat="1" ht="20.100000000000001" customHeight="1">
      <c r="A24" s="9">
        <v>10455</v>
      </c>
      <c r="B24" s="9" t="s">
        <v>15</v>
      </c>
      <c r="C24" s="77">
        <v>70337</v>
      </c>
      <c r="D24" s="77">
        <v>985</v>
      </c>
      <c r="E24" s="77">
        <f t="shared" si="0"/>
        <v>71.408121827411165</v>
      </c>
      <c r="F24" s="77">
        <f t="shared" si="1"/>
        <v>42844.873096446696</v>
      </c>
      <c r="G24" s="77">
        <f t="shared" si="2"/>
        <v>4284487.3096446693</v>
      </c>
      <c r="H24" s="77">
        <v>100</v>
      </c>
      <c r="I24" s="23" t="s">
        <v>208</v>
      </c>
      <c r="J24" s="77">
        <f t="shared" si="3"/>
        <v>1242501.319796954</v>
      </c>
      <c r="K24" s="23" t="s">
        <v>76</v>
      </c>
      <c r="L24" s="77">
        <f t="shared" si="4"/>
        <v>385.17540913705574</v>
      </c>
      <c r="M24" s="23" t="s">
        <v>241</v>
      </c>
      <c r="N24" s="77">
        <f t="shared" si="5"/>
        <v>362.8352354071065</v>
      </c>
      <c r="O24" s="23" t="s">
        <v>242</v>
      </c>
      <c r="P24" s="23" t="s">
        <v>215</v>
      </c>
      <c r="Q24" s="77">
        <f t="shared" si="6"/>
        <v>112.08604405888322</v>
      </c>
      <c r="R24" s="10" t="s">
        <v>254</v>
      </c>
      <c r="S24" s="77">
        <f t="shared" si="7"/>
        <v>18.681007343147204</v>
      </c>
      <c r="T24" s="10" t="s">
        <v>81</v>
      </c>
      <c r="U24" s="10" t="s">
        <v>215</v>
      </c>
      <c r="V24" s="77">
        <f t="shared" si="8"/>
        <v>112.08604405888322</v>
      </c>
      <c r="W24" s="23" t="s">
        <v>82</v>
      </c>
      <c r="X24" s="77">
        <f t="shared" si="9"/>
        <v>0</v>
      </c>
      <c r="Y24" s="23" t="s">
        <v>255</v>
      </c>
      <c r="Z24" s="23" t="s">
        <v>256</v>
      </c>
      <c r="AA24" s="77">
        <f t="shared" si="10"/>
        <v>56.235609734010133</v>
      </c>
    </row>
    <row r="25" spans="1:27" s="77" customFormat="1" ht="20.100000000000001" customHeight="1">
      <c r="A25" s="9">
        <v>10456</v>
      </c>
      <c r="B25" s="9" t="s">
        <v>15</v>
      </c>
      <c r="C25" s="77">
        <v>43856</v>
      </c>
      <c r="D25" s="77">
        <v>985</v>
      </c>
      <c r="E25" s="77">
        <f t="shared" si="0"/>
        <v>44.523857868020308</v>
      </c>
      <c r="F25" s="77">
        <f t="shared" si="1"/>
        <v>26714.314720812185</v>
      </c>
      <c r="G25" s="77">
        <f t="shared" si="2"/>
        <v>2671431.4720812184</v>
      </c>
      <c r="H25" s="77">
        <v>100</v>
      </c>
      <c r="I25" s="23" t="s">
        <v>192</v>
      </c>
      <c r="J25" s="77">
        <f t="shared" si="3"/>
        <v>809443.73604060919</v>
      </c>
      <c r="K25" s="23" t="s">
        <v>257</v>
      </c>
      <c r="L25" s="77">
        <f t="shared" si="4"/>
        <v>339.96636913705589</v>
      </c>
      <c r="M25" s="23" t="s">
        <v>258</v>
      </c>
      <c r="N25" s="77">
        <f t="shared" si="5"/>
        <v>293.39097656527923</v>
      </c>
      <c r="O25" s="23" t="s">
        <v>259</v>
      </c>
      <c r="P25" s="23" t="s">
        <v>260</v>
      </c>
      <c r="Q25" s="77">
        <f t="shared" si="6"/>
        <v>78.532231270659921</v>
      </c>
      <c r="R25" s="10" t="s">
        <v>261</v>
      </c>
      <c r="S25" s="77">
        <f t="shared" si="7"/>
        <v>29.067124561218282</v>
      </c>
      <c r="T25" s="10" t="s">
        <v>262</v>
      </c>
      <c r="U25" s="10" t="s">
        <v>87</v>
      </c>
      <c r="V25" s="77">
        <f t="shared" si="8"/>
        <v>75.472533948426403</v>
      </c>
      <c r="W25" s="23" t="s">
        <v>263</v>
      </c>
      <c r="X25" s="77">
        <f t="shared" si="9"/>
        <v>2.8897141376649751</v>
      </c>
      <c r="Y25" s="23" t="s">
        <v>264</v>
      </c>
      <c r="Z25" s="23" t="s">
        <v>146</v>
      </c>
      <c r="AA25" s="77">
        <f t="shared" si="10"/>
        <v>49.295123524873098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83843F62446140B43087719AA3FA42" ma:contentTypeVersion="3" ma:contentTypeDescription="Create a new document." ma:contentTypeScope="" ma:versionID="a2b02d47afae1ddf391ae6527f3c4a21">
  <xsd:schema xmlns:xsd="http://www.w3.org/2001/XMLSchema" xmlns:xs="http://www.w3.org/2001/XMLSchema" xmlns:p="http://schemas.microsoft.com/office/2006/metadata/properties" xmlns:ns2="f3da9a27-8783-4f30-8e1f-ac4eaf480372" targetNamespace="http://schemas.microsoft.com/office/2006/metadata/properties" ma:root="true" ma:fieldsID="53f09811bc5b7618933efac4b9b5e9ea" ns2:_="">
    <xsd:import namespace="f3da9a27-8783-4f30-8e1f-ac4eaf4803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da9a27-8783-4f30-8e1f-ac4eaf4803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B1102CC-DA3F-4EAB-B65C-FBF1E3D0F6B4}"/>
</file>

<file path=customXml/itemProps2.xml><?xml version="1.0" encoding="utf-8"?>
<ds:datastoreItem xmlns:ds="http://schemas.openxmlformats.org/officeDocument/2006/customXml" ds:itemID="{24F3C086-FC81-40A7-853E-970EDDE81438}"/>
</file>

<file path=customXml/itemProps3.xml><?xml version="1.0" encoding="utf-8"?>
<ds:datastoreItem xmlns:ds="http://schemas.openxmlformats.org/officeDocument/2006/customXml" ds:itemID="{EF164152-E441-4BE9-ACF9-E9B95AE97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Taylah Bennett</dc:creator>
  <cp:keywords/>
  <dc:description/>
  <cp:lastModifiedBy>Taylah Bennett</cp:lastModifiedBy>
  <cp:revision/>
  <dcterms:created xsi:type="dcterms:W3CDTF">2026-04-24T03:42:05Z</dcterms:created>
  <dcterms:modified xsi:type="dcterms:W3CDTF">2026-08-12T06:30:36Z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0x010100B683843F62446140B43087719AA3FA42</vt:lpwstr>
  </property>
</Properties>
</file>
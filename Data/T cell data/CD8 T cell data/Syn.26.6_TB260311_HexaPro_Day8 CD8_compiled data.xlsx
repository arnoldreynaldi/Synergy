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0"/>
  <workbookPr/>
  <mc:AlternateContent xmlns:mc="http://schemas.openxmlformats.org/markup-compatibility/2006">
    <mc:Choice Requires="x15">
      <x15ac:absPath xmlns:x15ac="http://schemas.microsoft.com/office/spreadsheetml/2010/11/ac" url="/Users/bennett.ta/Library/CloudStorage/OneDrive-wehi.edu.au/Groom Lab/3. Projects/1. Synergy (Syn)/Compliled data for modelling/CD8 data/"/>
    </mc:Choice>
  </mc:AlternateContent>
  <xr:revisionPtr revIDLastSave="11" documentId="13_ncr:1_{7E80B65F-071C-2E4B-9ABC-45F3B1CB44C5}" xr6:coauthVersionLast="47" xr6:coauthVersionMax="47" xr10:uidLastSave="{3FD29C88-C89A-4C88-AA7F-B38DD54C9512}"/>
  <bookViews>
    <workbookView xWindow="0" yWindow="780" windowWidth="34200" windowHeight="19720" firstSheet="2" xr2:uid="{715B3BFF-636C-194E-90D4-36818E15DA5F}"/>
  </bookViews>
  <sheets>
    <sheet name="Start here" sheetId="8" r:id="rId1"/>
    <sheet name="Data dictionary" sheetId="10" r:id="rId2"/>
    <sheet name="Processed data" sheetId="9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9" l="1"/>
  <c r="V4" i="9"/>
  <c r="V5" i="9"/>
  <c r="V6" i="9"/>
  <c r="V7" i="9"/>
  <c r="V8" i="9"/>
  <c r="V9" i="9"/>
  <c r="V10" i="9"/>
  <c r="V11" i="9"/>
  <c r="V12" i="9"/>
  <c r="V13" i="9"/>
  <c r="V14" i="9"/>
  <c r="V15" i="9"/>
  <c r="V16" i="9"/>
  <c r="V17" i="9"/>
  <c r="V18" i="9"/>
  <c r="V19" i="9"/>
  <c r="V20" i="9"/>
  <c r="V21" i="9"/>
  <c r="V22" i="9"/>
  <c r="V23" i="9"/>
  <c r="V24" i="9"/>
  <c r="V25" i="9"/>
  <c r="V2" i="9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" i="9"/>
  <c r="X3" i="9"/>
  <c r="X4" i="9"/>
  <c r="X5" i="9"/>
  <c r="X6" i="9"/>
  <c r="X7" i="9"/>
  <c r="X8" i="9"/>
  <c r="X9" i="9"/>
  <c r="X10" i="9"/>
  <c r="X11" i="9"/>
  <c r="X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" i="9"/>
  <c r="AA3" i="9"/>
  <c r="AA4" i="9"/>
  <c r="AA5" i="9"/>
  <c r="AA6" i="9"/>
  <c r="AA7" i="9"/>
  <c r="AA8" i="9"/>
  <c r="AA9" i="9"/>
  <c r="AA10" i="9"/>
  <c r="AA11" i="9"/>
  <c r="AA12" i="9"/>
  <c r="AA13" i="9"/>
  <c r="AA14" i="9"/>
  <c r="AA15" i="9"/>
  <c r="AA16" i="9"/>
  <c r="AA17" i="9"/>
  <c r="AA18" i="9"/>
  <c r="AA19" i="9"/>
  <c r="AA20" i="9"/>
  <c r="AA21" i="9"/>
  <c r="AA22" i="9"/>
  <c r="AA23" i="9"/>
  <c r="AA24" i="9"/>
  <c r="AA25" i="9"/>
  <c r="AA2" i="9"/>
  <c r="Q3" i="9"/>
  <c r="Q4" i="9"/>
  <c r="Q5" i="9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" i="9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" i="9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" i="9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" i="9"/>
  <c r="F3" i="9"/>
  <c r="F4" i="9"/>
  <c r="F5" i="9"/>
  <c r="F6" i="9"/>
  <c r="F7" i="9"/>
  <c r="F8" i="9"/>
  <c r="F9" i="9"/>
  <c r="G9" i="9" s="1"/>
  <c r="F10" i="9"/>
  <c r="G10" i="9" s="1"/>
  <c r="F11" i="9"/>
  <c r="G11" i="9" s="1"/>
  <c r="F12" i="9"/>
  <c r="G12" i="9" s="1"/>
  <c r="F13" i="9"/>
  <c r="F14" i="9"/>
  <c r="F15" i="9"/>
  <c r="F16" i="9"/>
  <c r="F17" i="9"/>
  <c r="F18" i="9"/>
  <c r="F19" i="9"/>
  <c r="G19" i="9" s="1"/>
  <c r="F20" i="9"/>
  <c r="F21" i="9"/>
  <c r="G21" i="9" s="1"/>
  <c r="F22" i="9"/>
  <c r="G22" i="9" s="1"/>
  <c r="F23" i="9"/>
  <c r="F24" i="9"/>
  <c r="F25" i="9"/>
  <c r="F2" i="9"/>
  <c r="G3" i="9"/>
  <c r="G4" i="9"/>
  <c r="G5" i="9"/>
  <c r="G6" i="9"/>
  <c r="G7" i="9"/>
  <c r="G8" i="9"/>
  <c r="G13" i="9"/>
  <c r="G14" i="9"/>
  <c r="G15" i="9"/>
  <c r="G16" i="9"/>
  <c r="G17" i="9"/>
  <c r="G18" i="9"/>
  <c r="G20" i="9"/>
  <c r="G23" i="9"/>
  <c r="G24" i="9"/>
  <c r="G25" i="9"/>
  <c r="G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" i="9"/>
</calcChain>
</file>

<file path=xl/sharedStrings.xml><?xml version="1.0" encoding="utf-8"?>
<sst xmlns="http://schemas.openxmlformats.org/spreadsheetml/2006/main" count="409" uniqueCount="304">
  <si>
    <t>Experiment code:</t>
  </si>
  <si>
    <t>Syn.26.6</t>
  </si>
  <si>
    <t>Experiment date:</t>
  </si>
  <si>
    <t>Time point (day):</t>
  </si>
  <si>
    <t>Replicate number:</t>
  </si>
  <si>
    <t>Analysis (CD4 or CD8):</t>
  </si>
  <si>
    <t>CD8</t>
  </si>
  <si>
    <t>Exp label</t>
  </si>
  <si>
    <t>Mouse #</t>
  </si>
  <si>
    <t>Vaccine</t>
  </si>
  <si>
    <t>Sex</t>
  </si>
  <si>
    <t>HexaPro TM</t>
  </si>
  <si>
    <t>F</t>
  </si>
  <si>
    <t>HexaPro TMd21</t>
  </si>
  <si>
    <t>HexaPro SOL</t>
  </si>
  <si>
    <t>HexaPro -SP/TM (IC)</t>
  </si>
  <si>
    <t>Counting beads: CountBright Absolute Count</t>
  </si>
  <si>
    <t>REF: C36950</t>
  </si>
  <si>
    <t>Lot: 2466366</t>
  </si>
  <si>
    <t>0.5 x 10^5 beads/50 µL</t>
  </si>
  <si>
    <t>Beads were diluted 1:50 = 1000 beads/50 µL, or 20 beads/µL</t>
  </si>
  <si>
    <t xml:space="preserve">Pre-enrichment, 10 µL of cell pellet resuspension (total 100 µL) was taken for cell counts </t>
  </si>
  <si>
    <t xml:space="preserve">After staining with antibodies, the sample was re-suspended in 150 µL of diluted beads </t>
  </si>
  <si>
    <t>Cells/µL = Number of cells/number of beads x (150 µL/10 µL * 20 beads/µL)</t>
  </si>
  <si>
    <t>Core populations</t>
  </si>
  <si>
    <t>Category</t>
  </si>
  <si>
    <t>Term / Column Component</t>
  </si>
  <si>
    <t>Definition</t>
  </si>
  <si>
    <t>Core population</t>
  </si>
  <si>
    <t>Tetramer+ CD8 T cells</t>
  </si>
  <si>
    <t>Antigen-specific CD8 T cells identified using peptide–MHC tetramers</t>
  </si>
  <si>
    <t>Population type</t>
  </si>
  <si>
    <t>Memory</t>
  </si>
  <si>
    <t>CD127+ KLRG1− cells; memory-forming potential</t>
  </si>
  <si>
    <t>Effector</t>
  </si>
  <si>
    <t>CD127− KLRG1+ cells; terminal effector phenotype</t>
  </si>
  <si>
    <t>TCM: Central memory</t>
  </si>
  <si>
    <t xml:space="preserve">Lymphoid-homing memory cells </t>
  </si>
  <si>
    <t>TEM: Effector memory</t>
  </si>
  <si>
    <t xml:space="preserve">Memory T cells that circulate in the peripheral tissues and blood, providing immediate, rapid effector function </t>
  </si>
  <si>
    <t>Tscm: Stem cell memory</t>
  </si>
  <si>
    <t>Self-renewing memory population; give rise to Tcm and Tem; long-lived reservoir</t>
  </si>
  <si>
    <t>Tfh-like</t>
  </si>
  <si>
    <t xml:space="preserve">CXCR5+ PD-1+; follicular helper-like phenotype </t>
  </si>
  <si>
    <t>Interpreting column labels</t>
  </si>
  <si>
    <t>Term</t>
  </si>
  <si>
    <t>% (percentage)</t>
  </si>
  <si>
    <t>Proportion of the specified parent population</t>
  </si>
  <si>
    <t>Number</t>
  </si>
  <si>
    <t>Absolute cell count in the subset</t>
  </si>
  <si>
    <t>Number of cell events</t>
  </si>
  <si>
    <t xml:space="preserve">Number of bead events </t>
  </si>
  <si>
    <t>Cell/bead ratio</t>
  </si>
  <si>
    <t>Cells/µL</t>
  </si>
  <si>
    <t>Cells in total sample vol</t>
  </si>
  <si>
    <t>Total sample vol (µL)</t>
  </si>
  <si>
    <t>CD8 T cells (% of live lymphocytes)</t>
  </si>
  <si>
    <t>Number of CD8 T cells</t>
  </si>
  <si>
    <t>Tetramer+ (% of CD8)</t>
  </si>
  <si>
    <t>Number of tetramer+ cells</t>
  </si>
  <si>
    <t>CD127+ KLRG1- memory (% tetramer)</t>
  </si>
  <si>
    <t>Number of CD127+ KLRG1- memory</t>
  </si>
  <si>
    <t>CD62L+ CX3CR1- TCM (% memory)</t>
  </si>
  <si>
    <t>CD127+ CD62L+ CX3CR1- KLRG1- TCM (% tetramer)</t>
  </si>
  <si>
    <t>Number CD127+ CD62L+ CX3CR1-KLRG1- TCM</t>
  </si>
  <si>
    <t>PD-1+ CXCR5+ TFH like (% tetramer)</t>
  </si>
  <si>
    <t>Number of CXCR5+ PD-1+ CD127+ KLRG1- TFH like</t>
  </si>
  <si>
    <t>CD127+ KLRG1- CD62L+ TCF1+ SLAMF6+ Tscm (%TCM)</t>
  </si>
  <si>
    <t>CD127+ KLRG1- CD62L+ TCF1+ SLAMF6+ Tscm (% tetramer)</t>
  </si>
  <si>
    <t xml:space="preserve">Number of CD127+ KLRG1- TCF1+ SLAMF6+ Tscm </t>
  </si>
  <si>
    <t>KLRG1+ CD127- effector (% tetramer)</t>
  </si>
  <si>
    <t>Number of KLRG1+ CD127- effector</t>
  </si>
  <si>
    <t>CD62L- CX3CR1hi TEM (% memory)</t>
  </si>
  <si>
    <t>CD62L- CX3CR1hi TEM (% tetramer)</t>
  </si>
  <si>
    <t>Number CD62L- CX3CR1hi TEM</t>
  </si>
  <si>
    <t>21.5 %</t>
  </si>
  <si>
    <t>0.25 %</t>
  </si>
  <si>
    <t>35.7 %</t>
  </si>
  <si>
    <t>22.8 %</t>
  </si>
  <si>
    <t>8.15 %</t>
  </si>
  <si>
    <t>3.60 %</t>
  </si>
  <si>
    <t>97.1 %</t>
  </si>
  <si>
    <t>7.91 %</t>
  </si>
  <si>
    <t>5.04 %</t>
  </si>
  <si>
    <t>4.03 %</t>
  </si>
  <si>
    <t>1.44 %</t>
  </si>
  <si>
    <t>23.7 %</t>
  </si>
  <si>
    <t>0.22 %</t>
  </si>
  <si>
    <t>31.1 %</t>
  </si>
  <si>
    <t>26.9 %</t>
  </si>
  <si>
    <t>8.38 %</t>
  </si>
  <si>
    <t>1.12 %</t>
  </si>
  <si>
    <t>97.8 %</t>
  </si>
  <si>
    <t>8.19 %</t>
  </si>
  <si>
    <t>3.54 %</t>
  </si>
  <si>
    <t>5.99 %</t>
  </si>
  <si>
    <t>1.86 %</t>
  </si>
  <si>
    <t>23.1 %</t>
  </si>
  <si>
    <t>0.38 %</t>
  </si>
  <si>
    <t>32.6 %</t>
  </si>
  <si>
    <t>31.5 %</t>
  </si>
  <si>
    <t>10.3 %</t>
  </si>
  <si>
    <t>2.97 %</t>
  </si>
  <si>
    <t>96.7 %</t>
  </si>
  <si>
    <t>9.93 %</t>
  </si>
  <si>
    <t>6.51 %</t>
  </si>
  <si>
    <t>6.64 %</t>
  </si>
  <si>
    <t>2.17 %</t>
  </si>
  <si>
    <t>24.1 %</t>
  </si>
  <si>
    <t>0.30 %</t>
  </si>
  <si>
    <t>36.0 %</t>
  </si>
  <si>
    <t>11.7 %</t>
  </si>
  <si>
    <t>1.42 %</t>
  </si>
  <si>
    <t>97.5 %</t>
  </si>
  <si>
    <t>11.4 %</t>
  </si>
  <si>
    <t>6.35 %</t>
  </si>
  <si>
    <t>4.82 %</t>
  </si>
  <si>
    <t>1.57 %</t>
  </si>
  <si>
    <t>23.4 %</t>
  </si>
  <si>
    <t>0.31 %</t>
  </si>
  <si>
    <t>29.5 %</t>
  </si>
  <si>
    <t>26.5 %</t>
  </si>
  <si>
    <t>7.81 %</t>
  </si>
  <si>
    <t>1.17 %</t>
  </si>
  <si>
    <t>95.3 %</t>
  </si>
  <si>
    <t>7.44 %</t>
  </si>
  <si>
    <t>3.26 %</t>
  </si>
  <si>
    <t>7.71 %</t>
  </si>
  <si>
    <t>2.27 %</t>
  </si>
  <si>
    <t>0.26 %</t>
  </si>
  <si>
    <t>30.4 %</t>
  </si>
  <si>
    <t>32.8 %</t>
  </si>
  <si>
    <t>9.99 %</t>
  </si>
  <si>
    <t>2.34 %</t>
  </si>
  <si>
    <t>99.1 %</t>
  </si>
  <si>
    <t>9.90 %</t>
  </si>
  <si>
    <t>2.25 %</t>
  </si>
  <si>
    <t>4.44 %</t>
  </si>
  <si>
    <t>1.35 %</t>
  </si>
  <si>
    <t>22.3 %</t>
  </si>
  <si>
    <t>0.24 %</t>
  </si>
  <si>
    <t>27.1 %</t>
  </si>
  <si>
    <t>31.6 %</t>
  </si>
  <si>
    <t>8.55 %</t>
  </si>
  <si>
    <t>0.81 %</t>
  </si>
  <si>
    <t>100 %</t>
  </si>
  <si>
    <t>9.16 %</t>
  </si>
  <si>
    <t>7.52 %</t>
  </si>
  <si>
    <t>2.04 %</t>
  </si>
  <si>
    <t>29.9 %</t>
  </si>
  <si>
    <t>0.21 %</t>
  </si>
  <si>
    <t>42.1 %</t>
  </si>
  <si>
    <t>20.4 %</t>
  </si>
  <si>
    <t>8.60 %</t>
  </si>
  <si>
    <t>2.33 %</t>
  </si>
  <si>
    <t>93.8 %</t>
  </si>
  <si>
    <t>8.06 %</t>
  </si>
  <si>
    <t>0.90 %</t>
  </si>
  <si>
    <t>5.96 %</t>
  </si>
  <si>
    <t>2.51 %</t>
  </si>
  <si>
    <t>25.3 %</t>
  </si>
  <si>
    <t>38.8 %</t>
  </si>
  <si>
    <t>11.6 %</t>
  </si>
  <si>
    <t>1.49 %</t>
  </si>
  <si>
    <t>0.57 %</t>
  </si>
  <si>
    <t>3.55 %</t>
  </si>
  <si>
    <t>1.38 %</t>
  </si>
  <si>
    <t>22.2 %</t>
  </si>
  <si>
    <t>0.19 %</t>
  </si>
  <si>
    <t>41.3 %</t>
  </si>
  <si>
    <t>17.9 %</t>
  </si>
  <si>
    <t>7.38 %</t>
  </si>
  <si>
    <t>2.73 %</t>
  </si>
  <si>
    <t>3.37 %</t>
  </si>
  <si>
    <t>9.73 %</t>
  </si>
  <si>
    <t>4.01 %</t>
  </si>
  <si>
    <t>22.0 %</t>
  </si>
  <si>
    <t>0.20 %</t>
  </si>
  <si>
    <t>47.5 %</t>
  </si>
  <si>
    <t>31.9 %</t>
  </si>
  <si>
    <t>15.2 %</t>
  </si>
  <si>
    <t>1.99 %</t>
  </si>
  <si>
    <t>97.2 %</t>
  </si>
  <si>
    <t>14.7 %</t>
  </si>
  <si>
    <t>1.67 %</t>
  </si>
  <si>
    <t>5.27 %</t>
  </si>
  <si>
    <t>25.2 %</t>
  </si>
  <si>
    <t>48.3 %</t>
  </si>
  <si>
    <t>22.5 %</t>
  </si>
  <si>
    <t>10.9 %</t>
  </si>
  <si>
    <t>10.5 %</t>
  </si>
  <si>
    <t>1.53 %</t>
  </si>
  <si>
    <t>4.89 %</t>
  </si>
  <si>
    <t>2.36 %</t>
  </si>
  <si>
    <t>0.29 %</t>
  </si>
  <si>
    <t>40.1 %</t>
  </si>
  <si>
    <t>41.2 %</t>
  </si>
  <si>
    <t>16.5 %</t>
  </si>
  <si>
    <t>3.44 %</t>
  </si>
  <si>
    <t>16.4 %</t>
  </si>
  <si>
    <t>1.15 %</t>
  </si>
  <si>
    <t>5.15 %</t>
  </si>
  <si>
    <t>2.07 %</t>
  </si>
  <si>
    <t>23.0 %</t>
  </si>
  <si>
    <t>48.8 %</t>
  </si>
  <si>
    <t>41.8 %</t>
  </si>
  <si>
    <t>8.72 %</t>
  </si>
  <si>
    <t>97.0 %</t>
  </si>
  <si>
    <t>19.8 %</t>
  </si>
  <si>
    <t>0.87 %</t>
  </si>
  <si>
    <t>3.83 %</t>
  </si>
  <si>
    <t>1.87 %</t>
  </si>
  <si>
    <t>25.1 %</t>
  </si>
  <si>
    <t>0.32 %</t>
  </si>
  <si>
    <t>46.2 %</t>
  </si>
  <si>
    <t>44.0 %</t>
  </si>
  <si>
    <t>20.3 %</t>
  </si>
  <si>
    <t>4.18 %</t>
  </si>
  <si>
    <t>99.2 %</t>
  </si>
  <si>
    <t>20.2 %</t>
  </si>
  <si>
    <t>0.75 %</t>
  </si>
  <si>
    <t>2.90 %</t>
  </si>
  <si>
    <t>1.34 %</t>
  </si>
  <si>
    <t>22.7 %</t>
  </si>
  <si>
    <t>0.23 %</t>
  </si>
  <si>
    <t>37.6 %</t>
  </si>
  <si>
    <t>46.0 %</t>
  </si>
  <si>
    <t>17.3 %</t>
  </si>
  <si>
    <t>1.81 %</t>
  </si>
  <si>
    <t>2.53 %</t>
  </si>
  <si>
    <t>4.56 %</t>
  </si>
  <si>
    <t>1.71 %</t>
  </si>
  <si>
    <t>27.0 %</t>
  </si>
  <si>
    <t>48.0 %</t>
  </si>
  <si>
    <t>35.5 %</t>
  </si>
  <si>
    <t>17.0 %</t>
  </si>
  <si>
    <t>3.46 %</t>
  </si>
  <si>
    <t>99.0 %</t>
  </si>
  <si>
    <t>16.8 %</t>
  </si>
  <si>
    <t>0.98 %</t>
  </si>
  <si>
    <t>2.77 %</t>
  </si>
  <si>
    <t>1.33 %</t>
  </si>
  <si>
    <t>25.0 %</t>
  </si>
  <si>
    <t>0.27 %</t>
  </si>
  <si>
    <t>44.2 %</t>
  </si>
  <si>
    <t>26.7 %</t>
  </si>
  <si>
    <t>11.8 %</t>
  </si>
  <si>
    <t>3.97 %</t>
  </si>
  <si>
    <t>1.66 %</t>
  </si>
  <si>
    <t>5.22 %</t>
  </si>
  <si>
    <t>2.31 %</t>
  </si>
  <si>
    <t>29.7 %</t>
  </si>
  <si>
    <t>49.9 %</t>
  </si>
  <si>
    <t>24.6 %</t>
  </si>
  <si>
    <t>12.3 %</t>
  </si>
  <si>
    <t>1.73 %</t>
  </si>
  <si>
    <t>98.7 %</t>
  </si>
  <si>
    <t>12.1 %</t>
  </si>
  <si>
    <t>0.63 %</t>
  </si>
  <si>
    <t>6.62 %</t>
  </si>
  <si>
    <t>3.31 %</t>
  </si>
  <si>
    <t>31.3 %</t>
  </si>
  <si>
    <t>0.33 %</t>
  </si>
  <si>
    <t>50.0 %</t>
  </si>
  <si>
    <t>18.3 %</t>
  </si>
  <si>
    <t>95.7 %</t>
  </si>
  <si>
    <t>8.77 %</t>
  </si>
  <si>
    <t>0.99 %</t>
  </si>
  <si>
    <t>7.89 %</t>
  </si>
  <si>
    <t>3.94 %</t>
  </si>
  <si>
    <t>28.2 %</t>
  </si>
  <si>
    <t>0.70 %</t>
  </si>
  <si>
    <t>43.9 %</t>
  </si>
  <si>
    <t>10.8 %</t>
  </si>
  <si>
    <t>1.20 %</t>
  </si>
  <si>
    <t>10.7 %</t>
  </si>
  <si>
    <t>1.26 %</t>
  </si>
  <si>
    <t>9.50 %</t>
  </si>
  <si>
    <t>4.17 %</t>
  </si>
  <si>
    <t>34.9 %</t>
  </si>
  <si>
    <t>0.43 %</t>
  </si>
  <si>
    <t>54.1 %</t>
  </si>
  <si>
    <t>14.3 %</t>
  </si>
  <si>
    <t>14.2 %</t>
  </si>
  <si>
    <t>0.12 %</t>
  </si>
  <si>
    <t>6.13 %</t>
  </si>
  <si>
    <t>29.4 %</t>
  </si>
  <si>
    <t>0.40 %</t>
  </si>
  <si>
    <t>45.9 %</t>
  </si>
  <si>
    <t>25.7 %</t>
  </si>
  <si>
    <t>1.08 %</t>
  </si>
  <si>
    <t>98.4 %</t>
  </si>
  <si>
    <t>2.16 %</t>
  </si>
  <si>
    <t>12.6 %</t>
  </si>
  <si>
    <t>5.79 %</t>
  </si>
  <si>
    <t>28.3 %</t>
  </si>
  <si>
    <t>50.1 %</t>
  </si>
  <si>
    <t>30.6 %</t>
  </si>
  <si>
    <t>15.4 %</t>
  </si>
  <si>
    <t>0.89 %</t>
  </si>
  <si>
    <t>98.3 %</t>
  </si>
  <si>
    <t>15.1 %</t>
  </si>
  <si>
    <t>0.51 %</t>
  </si>
  <si>
    <t>4.59 %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</si>
</sst>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sz val="12"/>
      <color theme="3" tint="0.499984740745262"/>
      <name val="Helvetica"/>
      <family val="2"/>
    </font>
    <font>
      <sz val="12"/>
      <color theme="3" tint="0.499984740745262"/>
      <name val="Aptos Narrow"/>
      <family val="2"/>
      <scheme val="minor"/>
    </font>
    <font>
      <sz val="12"/>
      <color theme="6" tint="0.39997558519241921"/>
      <name val="Aptos Narrow"/>
      <family val="2"/>
      <scheme val="minor"/>
    </font>
    <font>
      <sz val="12"/>
      <color theme="6" tint="0.39997558519241921"/>
      <name val="Helvetica"/>
      <family val="2"/>
    </font>
    <font>
      <sz val="12"/>
      <color theme="8" tint="0.39997558519241921"/>
      <name val="Aptos Narrow"/>
      <family val="2"/>
      <scheme val="minor"/>
    </font>
    <font>
      <sz val="12"/>
      <color theme="8" tint="0.39997558519241921"/>
      <name val="Helvetica"/>
      <family val="2"/>
    </font>
    <font>
      <sz val="12"/>
      <color theme="5" tint="0.39997558519241921"/>
      <name val="Helvetica"/>
      <family val="2"/>
    </font>
    <font>
      <sz val="12"/>
      <color theme="5" tint="0.39997558519241921"/>
      <name val="Aptos Narrow"/>
      <family val="2"/>
      <scheme val="minor"/>
    </font>
    <font>
      <sz val="10"/>
      <color theme="3" tint="0.499984740745262"/>
      <name val="Arial"/>
      <family val="2"/>
    </font>
    <font>
      <sz val="10"/>
      <color theme="5" tint="0.39997558519241921"/>
      <name val="Arial"/>
      <family val="2"/>
    </font>
    <font>
      <sz val="10"/>
      <color theme="6" tint="0.39997558519241921"/>
      <name val="Arial"/>
      <family val="2"/>
    </font>
    <font>
      <sz val="10"/>
      <color theme="8" tint="0.39997558519241921"/>
      <name val="Arial"/>
      <family val="2"/>
    </font>
    <font>
      <sz val="14"/>
      <color theme="1"/>
      <name val="Helvetica"/>
      <family val="2"/>
    </font>
    <font>
      <sz val="14"/>
      <color theme="1"/>
      <name val="Aptos Narrow"/>
      <family val="2"/>
      <scheme val="minor"/>
    </font>
    <font>
      <b/>
      <i/>
      <sz val="12"/>
      <color theme="1"/>
      <name val="Helvetica"/>
      <family val="2"/>
    </font>
    <font>
      <b/>
      <sz val="12"/>
      <color theme="1"/>
      <name val="Helvetica"/>
      <family val="2"/>
    </font>
    <font>
      <b/>
      <sz val="14"/>
      <color theme="1"/>
      <name val="Helvetica"/>
      <family val="2"/>
    </font>
    <font>
      <sz val="14"/>
      <color theme="3" tint="0.499984740745262"/>
      <name val="Aptos Narrow"/>
      <family val="2"/>
      <scheme val="minor"/>
    </font>
    <font>
      <sz val="14"/>
      <color theme="5" tint="0.39997558519241921"/>
      <name val="Aptos Narrow"/>
      <family val="2"/>
      <scheme val="minor"/>
    </font>
    <font>
      <sz val="14"/>
      <color theme="6" tint="0.39997558519241921"/>
      <name val="Aptos Narrow"/>
      <family val="2"/>
      <scheme val="minor"/>
    </font>
    <font>
      <sz val="14"/>
      <color theme="8" tint="0.39997558519241921"/>
      <name val="Aptos Narrow"/>
      <family val="2"/>
      <scheme val="minor"/>
    </font>
    <font>
      <sz val="12"/>
      <color theme="3" tint="0.499984740745262"/>
      <name val="Arial"/>
      <family val="2"/>
    </font>
    <font>
      <sz val="12"/>
      <color theme="5" tint="0.39997558519241921"/>
      <name val="Arial"/>
      <family val="2"/>
    </font>
    <font>
      <sz val="12"/>
      <color theme="6" tint="0.39997558519241921"/>
      <name val="Arial"/>
      <family val="2"/>
    </font>
    <font>
      <sz val="12"/>
      <color theme="8" tint="0.39997558519241921"/>
      <name val="Arial"/>
      <family val="2"/>
    </font>
    <font>
      <sz val="12"/>
      <color rgb="FF000000"/>
      <name val="Helvetica"/>
      <family val="2"/>
    </font>
    <font>
      <sz val="16"/>
      <color rgb="FF000000"/>
      <name val="Helvetica"/>
      <family val="2"/>
    </font>
    <font>
      <b/>
      <sz val="12"/>
      <color rgb="FF000000"/>
      <name val="Helvetica"/>
      <family val="2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6" xfId="0" applyFont="1" applyBorder="1"/>
    <xf numFmtId="0" fontId="14" fillId="0" borderId="7" xfId="0" applyFont="1" applyBorder="1"/>
    <xf numFmtId="0" fontId="14" fillId="0" borderId="8" xfId="0" applyFont="1" applyBorder="1"/>
    <xf numFmtId="0" fontId="15" fillId="0" borderId="0" xfId="0" applyFont="1"/>
    <xf numFmtId="0" fontId="14" fillId="0" borderId="1" xfId="0" applyFont="1" applyBorder="1"/>
    <xf numFmtId="0" fontId="14" fillId="0" borderId="0" xfId="0" applyFont="1"/>
    <xf numFmtId="0" fontId="14" fillId="0" borderId="2" xfId="0" applyFont="1" applyBorder="1"/>
    <xf numFmtId="0" fontId="14" fillId="0" borderId="3" xfId="0" applyFont="1" applyBorder="1"/>
    <xf numFmtId="0" fontId="14" fillId="0" borderId="5" xfId="0" applyFont="1" applyBorder="1"/>
    <xf numFmtId="0" fontId="14" fillId="0" borderId="4" xfId="0" applyFont="1" applyBorder="1"/>
    <xf numFmtId="0" fontId="16" fillId="0" borderId="0" xfId="0" applyFont="1" applyAlignment="1">
      <alignment horizontal="center" wrapText="1"/>
    </xf>
    <xf numFmtId="0" fontId="14" fillId="0" borderId="9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5" xfId="0" applyFont="1" applyBorder="1" applyAlignment="1">
      <alignment horizontal="center" wrapText="1"/>
    </xf>
    <xf numFmtId="0" fontId="19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6" xfId="0" applyFont="1" applyBorder="1" applyAlignment="1">
      <alignment horizontal="center" wrapText="1"/>
    </xf>
    <xf numFmtId="0" fontId="19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7" xfId="0" applyFont="1" applyBorder="1" applyAlignment="1">
      <alignment horizontal="center" wrapText="1"/>
    </xf>
    <xf numFmtId="0" fontId="19" fillId="0" borderId="14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21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22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22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17" fillId="0" borderId="0" xfId="0" applyFont="1" applyAlignment="1">
      <alignment horizontal="center" wrapText="1"/>
    </xf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14" fillId="0" borderId="10" xfId="0" applyFont="1" applyBorder="1" applyAlignment="1">
      <alignment horizontal="center"/>
    </xf>
    <xf numFmtId="14" fontId="14" fillId="0" borderId="12" xfId="0" applyNumberFormat="1" applyFont="1" applyBorder="1" applyAlignment="1">
      <alignment horizontal="center"/>
    </xf>
    <xf numFmtId="0" fontId="30" fillId="0" borderId="20" xfId="0" applyFont="1" applyBorder="1" applyAlignment="1">
      <alignment horizontal="center"/>
    </xf>
    <xf numFmtId="0" fontId="18" fillId="0" borderId="2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F1890-3097-3E48-99C5-F2415CE7B3DF}">
  <dimension ref="B1:G42"/>
  <sheetViews>
    <sheetView tabSelected="1" workbookViewId="0">
      <selection activeCell="E8" sqref="E8:E32"/>
    </sheetView>
  </sheetViews>
  <sheetFormatPr defaultColWidth="10.875" defaultRowHeight="18.95"/>
  <cols>
    <col min="1" max="1" width="10.875" style="19"/>
    <col min="2" max="2" width="26.125" style="19" customWidth="1"/>
    <col min="3" max="3" width="24.125" style="19" customWidth="1"/>
    <col min="4" max="4" width="21.375" style="19" customWidth="1"/>
    <col min="5" max="6" width="10.875" style="19"/>
    <col min="7" max="7" width="18.625" style="19" customWidth="1"/>
    <col min="8" max="16384" width="10.875" style="19"/>
  </cols>
  <sheetData>
    <row r="1" spans="2:5" ht="20.100000000000001" thickBot="1"/>
    <row r="2" spans="2:5">
      <c r="B2" s="27" t="s">
        <v>0</v>
      </c>
      <c r="C2" s="78" t="s">
        <v>1</v>
      </c>
    </row>
    <row r="3" spans="2:5">
      <c r="B3" s="28" t="s">
        <v>2</v>
      </c>
      <c r="C3" s="79">
        <v>46092</v>
      </c>
    </row>
    <row r="4" spans="2:5">
      <c r="B4" s="28" t="s">
        <v>3</v>
      </c>
      <c r="C4" s="29">
        <v>8</v>
      </c>
    </row>
    <row r="5" spans="2:5">
      <c r="B5" s="28" t="s">
        <v>4</v>
      </c>
      <c r="C5" s="29">
        <v>2</v>
      </c>
    </row>
    <row r="6" spans="2:5" ht="20.100000000000001" thickBot="1">
      <c r="B6" s="30" t="s">
        <v>5</v>
      </c>
      <c r="C6" s="31" t="s">
        <v>6</v>
      </c>
    </row>
    <row r="7" spans="2:5" ht="18.75"/>
    <row r="8" spans="2:5" ht="18.75">
      <c r="B8" s="80" t="s">
        <v>7</v>
      </c>
      <c r="C8" s="81" t="s">
        <v>8</v>
      </c>
      <c r="D8" s="68" t="s">
        <v>9</v>
      </c>
      <c r="E8" s="69" t="s">
        <v>10</v>
      </c>
    </row>
    <row r="9" spans="2:5" ht="18.75">
      <c r="B9" s="32">
        <v>10403</v>
      </c>
      <c r="C9" s="32">
        <v>10403</v>
      </c>
      <c r="D9" s="33" t="s">
        <v>11</v>
      </c>
      <c r="E9" s="34" t="s">
        <v>12</v>
      </c>
    </row>
    <row r="10" spans="2:5" ht="18.75">
      <c r="B10" s="35">
        <v>10404</v>
      </c>
      <c r="C10" s="35">
        <v>10404</v>
      </c>
      <c r="D10" s="36" t="s">
        <v>11</v>
      </c>
      <c r="E10" s="37" t="s">
        <v>12</v>
      </c>
    </row>
    <row r="11" spans="2:5" ht="18.75">
      <c r="B11" s="35">
        <v>10405</v>
      </c>
      <c r="C11" s="35">
        <v>10405</v>
      </c>
      <c r="D11" s="36" t="s">
        <v>11</v>
      </c>
      <c r="E11" s="37" t="s">
        <v>12</v>
      </c>
    </row>
    <row r="12" spans="2:5" ht="18.75">
      <c r="B12" s="35">
        <v>10406</v>
      </c>
      <c r="C12" s="35">
        <v>10406</v>
      </c>
      <c r="D12" s="36" t="s">
        <v>11</v>
      </c>
      <c r="E12" s="37" t="s">
        <v>12</v>
      </c>
    </row>
    <row r="13" spans="2:5" ht="18.75">
      <c r="B13" s="35">
        <v>10407</v>
      </c>
      <c r="C13" s="35">
        <v>10407</v>
      </c>
      <c r="D13" s="36" t="s">
        <v>11</v>
      </c>
      <c r="E13" s="37" t="s">
        <v>12</v>
      </c>
    </row>
    <row r="14" spans="2:5" ht="18.75">
      <c r="B14" s="38">
        <v>10408</v>
      </c>
      <c r="C14" s="38">
        <v>10408</v>
      </c>
      <c r="D14" s="39" t="s">
        <v>11</v>
      </c>
      <c r="E14" s="40" t="s">
        <v>12</v>
      </c>
    </row>
    <row r="15" spans="2:5" ht="18.75">
      <c r="B15" s="41">
        <v>10409</v>
      </c>
      <c r="C15" s="41">
        <v>10409</v>
      </c>
      <c r="D15" s="42" t="s">
        <v>13</v>
      </c>
      <c r="E15" s="43" t="s">
        <v>12</v>
      </c>
    </row>
    <row r="16" spans="2:5" ht="18.75">
      <c r="B16" s="44">
        <v>10410</v>
      </c>
      <c r="C16" s="44">
        <v>10410</v>
      </c>
      <c r="D16" s="45" t="s">
        <v>13</v>
      </c>
      <c r="E16" s="46" t="s">
        <v>12</v>
      </c>
    </row>
    <row r="17" spans="2:5" ht="18.75">
      <c r="B17" s="44">
        <v>10414</v>
      </c>
      <c r="C17" s="44">
        <v>10414</v>
      </c>
      <c r="D17" s="45" t="s">
        <v>13</v>
      </c>
      <c r="E17" s="46" t="s">
        <v>12</v>
      </c>
    </row>
    <row r="18" spans="2:5" ht="18.75">
      <c r="B18" s="44">
        <v>10415</v>
      </c>
      <c r="C18" s="44">
        <v>10415</v>
      </c>
      <c r="D18" s="45" t="s">
        <v>13</v>
      </c>
      <c r="E18" s="46" t="s">
        <v>12</v>
      </c>
    </row>
    <row r="19" spans="2:5" ht="18.75">
      <c r="B19" s="44">
        <v>10416</v>
      </c>
      <c r="C19" s="44">
        <v>10416</v>
      </c>
      <c r="D19" s="45" t="s">
        <v>13</v>
      </c>
      <c r="E19" s="46" t="s">
        <v>12</v>
      </c>
    </row>
    <row r="20" spans="2:5" ht="18.75">
      <c r="B20" s="47">
        <v>10417</v>
      </c>
      <c r="C20" s="47">
        <v>10417</v>
      </c>
      <c r="D20" s="48" t="s">
        <v>13</v>
      </c>
      <c r="E20" s="49" t="s">
        <v>12</v>
      </c>
    </row>
    <row r="21" spans="2:5" ht="18.75">
      <c r="B21" s="50">
        <v>10411</v>
      </c>
      <c r="C21" s="50">
        <v>10411</v>
      </c>
      <c r="D21" s="51" t="s">
        <v>14</v>
      </c>
      <c r="E21" s="52" t="s">
        <v>12</v>
      </c>
    </row>
    <row r="22" spans="2:5" ht="18.75">
      <c r="B22" s="53">
        <v>10412</v>
      </c>
      <c r="C22" s="53">
        <v>10412</v>
      </c>
      <c r="D22" s="54" t="s">
        <v>14</v>
      </c>
      <c r="E22" s="55" t="s">
        <v>12</v>
      </c>
    </row>
    <row r="23" spans="2:5" ht="18.75">
      <c r="B23" s="53">
        <v>10413</v>
      </c>
      <c r="C23" s="53">
        <v>10413</v>
      </c>
      <c r="D23" s="54" t="s">
        <v>14</v>
      </c>
      <c r="E23" s="55" t="s">
        <v>12</v>
      </c>
    </row>
    <row r="24" spans="2:5" ht="18.75">
      <c r="B24" s="53">
        <v>10430</v>
      </c>
      <c r="C24" s="53">
        <v>10430</v>
      </c>
      <c r="D24" s="54" t="s">
        <v>14</v>
      </c>
      <c r="E24" s="55" t="s">
        <v>12</v>
      </c>
    </row>
    <row r="25" spans="2:5" ht="18.75">
      <c r="B25" s="53">
        <v>10431</v>
      </c>
      <c r="C25" s="53">
        <v>10431</v>
      </c>
      <c r="D25" s="54" t="s">
        <v>14</v>
      </c>
      <c r="E25" s="55" t="s">
        <v>12</v>
      </c>
    </row>
    <row r="26" spans="2:5" ht="18.75">
      <c r="B26" s="56">
        <v>10432</v>
      </c>
      <c r="C26" s="56">
        <v>10432</v>
      </c>
      <c r="D26" s="57" t="s">
        <v>14</v>
      </c>
      <c r="E26" s="58" t="s">
        <v>12</v>
      </c>
    </row>
    <row r="27" spans="2:5" ht="18.75">
      <c r="B27" s="59">
        <v>10418</v>
      </c>
      <c r="C27" s="59">
        <v>10418</v>
      </c>
      <c r="D27" s="60" t="s">
        <v>15</v>
      </c>
      <c r="E27" s="61" t="s">
        <v>12</v>
      </c>
    </row>
    <row r="28" spans="2:5" ht="18.75">
      <c r="B28" s="62">
        <v>10419</v>
      </c>
      <c r="C28" s="62">
        <v>10419</v>
      </c>
      <c r="D28" s="63" t="s">
        <v>15</v>
      </c>
      <c r="E28" s="64" t="s">
        <v>12</v>
      </c>
    </row>
    <row r="29" spans="2:5" ht="18.75">
      <c r="B29" s="62">
        <v>10420</v>
      </c>
      <c r="C29" s="62">
        <v>10420</v>
      </c>
      <c r="D29" s="63" t="s">
        <v>15</v>
      </c>
      <c r="E29" s="64" t="s">
        <v>12</v>
      </c>
    </row>
    <row r="30" spans="2:5" ht="18.75">
      <c r="B30" s="62">
        <v>10421</v>
      </c>
      <c r="C30" s="62">
        <v>10421</v>
      </c>
      <c r="D30" s="63" t="s">
        <v>15</v>
      </c>
      <c r="E30" s="64" t="s">
        <v>12</v>
      </c>
    </row>
    <row r="31" spans="2:5" ht="18.75">
      <c r="B31" s="62">
        <v>10422</v>
      </c>
      <c r="C31" s="62">
        <v>10422</v>
      </c>
      <c r="D31" s="63" t="s">
        <v>15</v>
      </c>
      <c r="E31" s="64" t="s">
        <v>12</v>
      </c>
    </row>
    <row r="32" spans="2:5" ht="18.75">
      <c r="B32" s="65">
        <v>10423</v>
      </c>
      <c r="C32" s="65">
        <v>10423</v>
      </c>
      <c r="D32" s="66" t="s">
        <v>15</v>
      </c>
      <c r="E32" s="67" t="s">
        <v>12</v>
      </c>
    </row>
    <row r="33" spans="2:7" ht="18.75"/>
    <row r="34" spans="2:7" ht="18.75">
      <c r="B34" s="16" t="s">
        <v>16</v>
      </c>
      <c r="C34" s="17"/>
      <c r="D34" s="18"/>
    </row>
    <row r="35" spans="2:7">
      <c r="B35" s="20" t="s">
        <v>17</v>
      </c>
      <c r="C35" s="21"/>
      <c r="D35" s="22"/>
    </row>
    <row r="36" spans="2:7">
      <c r="B36" s="20" t="s">
        <v>18</v>
      </c>
      <c r="C36" s="21"/>
      <c r="D36" s="22"/>
    </row>
    <row r="37" spans="2:7" ht="20.100000000000001" thickBot="1">
      <c r="B37" s="23" t="s">
        <v>19</v>
      </c>
      <c r="C37" s="24"/>
      <c r="D37" s="25"/>
    </row>
    <row r="38" spans="2:7" ht="20.100000000000001" thickBot="1"/>
    <row r="39" spans="2:7">
      <c r="B39" s="16" t="s">
        <v>20</v>
      </c>
      <c r="C39" s="17"/>
      <c r="D39" s="17"/>
      <c r="E39" s="17"/>
      <c r="F39" s="17"/>
      <c r="G39" s="18"/>
    </row>
    <row r="40" spans="2:7">
      <c r="B40" s="20" t="s">
        <v>21</v>
      </c>
      <c r="C40" s="21"/>
      <c r="D40" s="21"/>
      <c r="E40" s="21"/>
      <c r="F40" s="21"/>
      <c r="G40" s="22"/>
    </row>
    <row r="41" spans="2:7">
      <c r="B41" s="20" t="s">
        <v>22</v>
      </c>
      <c r="C41" s="21"/>
      <c r="D41" s="21"/>
      <c r="E41" s="21"/>
      <c r="F41" s="21"/>
      <c r="G41" s="22"/>
    </row>
    <row r="42" spans="2:7" ht="20.100000000000001" thickBot="1">
      <c r="B42" s="23" t="s">
        <v>23</v>
      </c>
      <c r="C42" s="24"/>
      <c r="D42" s="24"/>
      <c r="E42" s="24"/>
      <c r="F42" s="24"/>
      <c r="G42" s="2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7ACF9-C235-0D43-8454-9971053208BB}">
  <dimension ref="A1:D14"/>
  <sheetViews>
    <sheetView workbookViewId="0">
      <selection sqref="A1:XFD1048576"/>
    </sheetView>
  </sheetViews>
  <sheetFormatPr defaultColWidth="11" defaultRowHeight="15.95"/>
  <cols>
    <col min="2" max="2" width="27.375" customWidth="1"/>
    <col min="3" max="3" width="28" customWidth="1"/>
    <col min="4" max="4" width="100" customWidth="1"/>
  </cols>
  <sheetData>
    <row r="1" spans="1:4" ht="21">
      <c r="A1" s="75"/>
      <c r="B1" s="76" t="s">
        <v>24</v>
      </c>
      <c r="C1" s="75"/>
      <c r="D1" s="75"/>
    </row>
    <row r="2" spans="1:4">
      <c r="A2" s="75"/>
      <c r="B2" s="77" t="s">
        <v>25</v>
      </c>
      <c r="C2" s="77" t="s">
        <v>26</v>
      </c>
      <c r="D2" s="77" t="s">
        <v>27</v>
      </c>
    </row>
    <row r="3" spans="1:4">
      <c r="A3" s="75"/>
      <c r="B3" s="75" t="s">
        <v>28</v>
      </c>
      <c r="C3" s="75" t="s">
        <v>29</v>
      </c>
      <c r="D3" s="75" t="s">
        <v>30</v>
      </c>
    </row>
    <row r="4" spans="1:4">
      <c r="A4" s="75"/>
      <c r="B4" s="75" t="s">
        <v>31</v>
      </c>
      <c r="C4" s="75" t="s">
        <v>32</v>
      </c>
      <c r="D4" s="75" t="s">
        <v>33</v>
      </c>
    </row>
    <row r="5" spans="1:4">
      <c r="A5" s="75"/>
      <c r="B5" s="75"/>
      <c r="C5" s="75" t="s">
        <v>34</v>
      </c>
      <c r="D5" s="75" t="s">
        <v>35</v>
      </c>
    </row>
    <row r="6" spans="1:4">
      <c r="A6" s="75"/>
      <c r="B6" s="75"/>
      <c r="C6" s="75" t="s">
        <v>36</v>
      </c>
      <c r="D6" s="75" t="s">
        <v>37</v>
      </c>
    </row>
    <row r="7" spans="1:4">
      <c r="A7" s="75"/>
      <c r="B7" s="75"/>
      <c r="C7" s="75" t="s">
        <v>38</v>
      </c>
      <c r="D7" s="75" t="s">
        <v>39</v>
      </c>
    </row>
    <row r="8" spans="1:4">
      <c r="A8" s="75"/>
      <c r="B8" s="75"/>
      <c r="C8" s="75" t="s">
        <v>40</v>
      </c>
      <c r="D8" s="75" t="s">
        <v>41</v>
      </c>
    </row>
    <row r="9" spans="1:4">
      <c r="A9" s="75"/>
      <c r="B9" s="75"/>
      <c r="C9" s="75" t="s">
        <v>42</v>
      </c>
      <c r="D9" s="75" t="s">
        <v>43</v>
      </c>
    </row>
    <row r="10" spans="1:4">
      <c r="A10" s="75"/>
      <c r="B10" s="75"/>
      <c r="C10" s="75"/>
      <c r="D10" s="75"/>
    </row>
    <row r="11" spans="1:4" ht="21">
      <c r="A11" s="75"/>
      <c r="B11" s="76" t="s">
        <v>44</v>
      </c>
      <c r="C11" s="76"/>
      <c r="D11" s="75"/>
    </row>
    <row r="12" spans="1:4">
      <c r="A12" s="75"/>
      <c r="B12" s="77" t="s">
        <v>45</v>
      </c>
      <c r="C12" s="77" t="s">
        <v>27</v>
      </c>
      <c r="D12" s="75"/>
    </row>
    <row r="13" spans="1:4">
      <c r="A13" s="75"/>
      <c r="B13" s="75" t="s">
        <v>46</v>
      </c>
      <c r="C13" s="75" t="s">
        <v>47</v>
      </c>
      <c r="D13" s="75"/>
    </row>
    <row r="14" spans="1:4">
      <c r="A14" s="75"/>
      <c r="B14" s="75" t="s">
        <v>48</v>
      </c>
      <c r="C14" s="75" t="s">
        <v>49</v>
      </c>
      <c r="D14" s="7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E987-802F-4045-80CF-9F58D7B8E8B9}">
  <dimension ref="A1:AA31"/>
  <sheetViews>
    <sheetView workbookViewId="0">
      <selection activeCell="F2" sqref="F2"/>
    </sheetView>
  </sheetViews>
  <sheetFormatPr defaultColWidth="10.875" defaultRowHeight="15.95"/>
  <cols>
    <col min="1" max="1" width="10.875" style="1"/>
    <col min="2" max="2" width="21.875" style="1" customWidth="1"/>
    <col min="3" max="8" width="10.875" style="1"/>
    <col min="9" max="9" width="13.875" style="1" customWidth="1"/>
    <col min="10" max="12" width="10.875" style="1"/>
    <col min="13" max="13" width="13.5" style="1" customWidth="1"/>
    <col min="14" max="14" width="10.875" style="1"/>
    <col min="15" max="15" width="13" style="1" customWidth="1"/>
    <col min="16" max="16" width="15.625" style="1" customWidth="1"/>
    <col min="17" max="16384" width="10.875" style="1"/>
  </cols>
  <sheetData>
    <row r="1" spans="1:27" s="70" customFormat="1" ht="119.1" customHeight="1">
      <c r="A1" s="70" t="s">
        <v>7</v>
      </c>
      <c r="B1" s="70" t="s">
        <v>9</v>
      </c>
      <c r="C1" s="70" t="s">
        <v>50</v>
      </c>
      <c r="D1" s="70" t="s">
        <v>51</v>
      </c>
      <c r="E1" s="70" t="s">
        <v>52</v>
      </c>
      <c r="F1" s="70" t="s">
        <v>53</v>
      </c>
      <c r="G1" s="70" t="s">
        <v>54</v>
      </c>
      <c r="H1" s="70" t="s">
        <v>55</v>
      </c>
      <c r="I1" s="70" t="s">
        <v>56</v>
      </c>
      <c r="J1" s="70" t="s">
        <v>57</v>
      </c>
      <c r="K1" s="70" t="s">
        <v>58</v>
      </c>
      <c r="L1" s="26" t="s">
        <v>59</v>
      </c>
      <c r="M1" s="70" t="s">
        <v>60</v>
      </c>
      <c r="N1" s="70" t="s">
        <v>61</v>
      </c>
      <c r="O1" s="70" t="s">
        <v>62</v>
      </c>
      <c r="P1" s="70" t="s">
        <v>63</v>
      </c>
      <c r="Q1" s="70" t="s">
        <v>64</v>
      </c>
      <c r="R1" s="70" t="s">
        <v>65</v>
      </c>
      <c r="S1" s="70" t="s">
        <v>66</v>
      </c>
      <c r="T1" s="70" t="s">
        <v>67</v>
      </c>
      <c r="U1" s="70" t="s">
        <v>68</v>
      </c>
      <c r="V1" s="70" t="s">
        <v>69</v>
      </c>
      <c r="W1" s="70" t="s">
        <v>70</v>
      </c>
      <c r="X1" s="70" t="s">
        <v>71</v>
      </c>
      <c r="Y1" s="70" t="s">
        <v>72</v>
      </c>
      <c r="Z1" s="70" t="s">
        <v>73</v>
      </c>
      <c r="AA1" s="70" t="s">
        <v>74</v>
      </c>
    </row>
    <row r="2" spans="1:27" s="2" customFormat="1" ht="20.100000000000001" customHeight="1">
      <c r="A2" s="2">
        <v>10403</v>
      </c>
      <c r="B2" s="7" t="s">
        <v>11</v>
      </c>
      <c r="C2" s="2">
        <v>21430</v>
      </c>
      <c r="D2" s="2">
        <v>107</v>
      </c>
      <c r="E2" s="2">
        <f>C2/D2</f>
        <v>200.28037383177571</v>
      </c>
      <c r="F2" s="2">
        <f>(150/10*20)*E2</f>
        <v>60084.11214953271</v>
      </c>
      <c r="G2" s="2">
        <f>F2*H2</f>
        <v>6008411.2149532707</v>
      </c>
      <c r="H2" s="2">
        <v>100</v>
      </c>
      <c r="I2" s="4" t="s">
        <v>75</v>
      </c>
      <c r="J2" s="2">
        <f>I2*G2</f>
        <v>1291808.4112149533</v>
      </c>
      <c r="K2" s="71" t="s">
        <v>76</v>
      </c>
      <c r="L2" s="2">
        <f>K2*J2</f>
        <v>3229.5210280373831</v>
      </c>
      <c r="M2" s="71" t="s">
        <v>77</v>
      </c>
      <c r="N2" s="2">
        <f>M2*L2</f>
        <v>1152.9390070093457</v>
      </c>
      <c r="O2" s="71" t="s">
        <v>78</v>
      </c>
      <c r="P2" s="71" t="s">
        <v>79</v>
      </c>
      <c r="Q2" s="2">
        <f>P2*L2</f>
        <v>263.20596378504672</v>
      </c>
      <c r="R2" s="12" t="s">
        <v>80</v>
      </c>
      <c r="S2" s="2">
        <f>R2*L2</f>
        <v>116.26275700934578</v>
      </c>
      <c r="T2" s="12" t="s">
        <v>81</v>
      </c>
      <c r="U2" s="12" t="s">
        <v>82</v>
      </c>
      <c r="V2" s="2">
        <f>U2*L2</f>
        <v>255.45511331775703</v>
      </c>
      <c r="W2" s="71" t="s">
        <v>83</v>
      </c>
      <c r="X2" s="2">
        <f>W2*L2</f>
        <v>162.7678598130841</v>
      </c>
      <c r="Y2" s="71" t="s">
        <v>84</v>
      </c>
      <c r="Z2" s="71" t="s">
        <v>85</v>
      </c>
      <c r="AA2" s="2">
        <f>Z2*L2</f>
        <v>46.505102803738318</v>
      </c>
    </row>
    <row r="3" spans="1:27" s="2" customFormat="1" ht="20.100000000000001" customHeight="1">
      <c r="A3" s="2">
        <v>10404</v>
      </c>
      <c r="B3" s="7" t="s">
        <v>11</v>
      </c>
      <c r="C3" s="2">
        <v>134689</v>
      </c>
      <c r="D3" s="2">
        <v>1029</v>
      </c>
      <c r="E3" s="2">
        <f t="shared" ref="E3:E25" si="0">C3/D3</f>
        <v>130.89310009718173</v>
      </c>
      <c r="F3" s="2">
        <f t="shared" ref="F3:F25" si="1">(150/10*20)*E3</f>
        <v>39267.930029154522</v>
      </c>
      <c r="G3" s="2">
        <f t="shared" ref="G3:G25" si="2">F3*H3</f>
        <v>3926793.0029154522</v>
      </c>
      <c r="H3" s="2">
        <v>100</v>
      </c>
      <c r="I3" s="4" t="s">
        <v>86</v>
      </c>
      <c r="J3" s="2">
        <f t="shared" ref="J3:J25" si="3">I3*G3</f>
        <v>930649.94169096218</v>
      </c>
      <c r="K3" s="71" t="s">
        <v>87</v>
      </c>
      <c r="L3" s="2">
        <f t="shared" ref="L3:L25" si="4">K3*J3</f>
        <v>2047.4298717201168</v>
      </c>
      <c r="M3" s="71" t="s">
        <v>88</v>
      </c>
      <c r="N3" s="2">
        <f t="shared" ref="N3:N25" si="5">M3*L3</f>
        <v>636.75069010495633</v>
      </c>
      <c r="O3" s="71" t="s">
        <v>89</v>
      </c>
      <c r="P3" s="71" t="s">
        <v>90</v>
      </c>
      <c r="Q3" s="2">
        <f t="shared" ref="Q3:Q25" si="6">P3*L3</f>
        <v>171.57462325014578</v>
      </c>
      <c r="R3" s="12" t="s">
        <v>91</v>
      </c>
      <c r="S3" s="2">
        <f t="shared" ref="S3:S25" si="7">R3*L3</f>
        <v>22.931214563265307</v>
      </c>
      <c r="T3" s="12" t="s">
        <v>92</v>
      </c>
      <c r="U3" s="12" t="s">
        <v>93</v>
      </c>
      <c r="V3" s="2">
        <f t="shared" ref="V3:V25" si="8">U3*L3</f>
        <v>167.68450649387756</v>
      </c>
      <c r="W3" s="71" t="s">
        <v>94</v>
      </c>
      <c r="X3" s="2">
        <f t="shared" ref="X3:X25" si="9">W3*L3</f>
        <v>72.47901745889213</v>
      </c>
      <c r="Y3" s="71" t="s">
        <v>95</v>
      </c>
      <c r="Z3" s="71" t="s">
        <v>96</v>
      </c>
      <c r="AA3" s="2">
        <f t="shared" ref="AA3:AA25" si="10">Z3*L3</f>
        <v>38.082195613994166</v>
      </c>
    </row>
    <row r="4" spans="1:27" s="2" customFormat="1" ht="20.100000000000001" customHeight="1">
      <c r="A4" s="2">
        <v>10405</v>
      </c>
      <c r="B4" s="7" t="s">
        <v>11</v>
      </c>
      <c r="C4" s="2">
        <v>241908</v>
      </c>
      <c r="D4" s="2">
        <v>1055</v>
      </c>
      <c r="E4" s="2">
        <f t="shared" si="0"/>
        <v>229.29668246445499</v>
      </c>
      <c r="F4" s="2">
        <f t="shared" si="1"/>
        <v>68789.004739336495</v>
      </c>
      <c r="G4" s="2">
        <f t="shared" si="2"/>
        <v>6878900.4739336492</v>
      </c>
      <c r="H4" s="2">
        <v>100</v>
      </c>
      <c r="I4" s="4" t="s">
        <v>97</v>
      </c>
      <c r="J4" s="2">
        <f t="shared" si="3"/>
        <v>1589026.0094786731</v>
      </c>
      <c r="K4" s="71" t="s">
        <v>98</v>
      </c>
      <c r="L4" s="2">
        <f t="shared" si="4"/>
        <v>6038.2988360189574</v>
      </c>
      <c r="M4" s="71" t="s">
        <v>99</v>
      </c>
      <c r="N4" s="2">
        <f t="shared" si="5"/>
        <v>1968.4854205421802</v>
      </c>
      <c r="O4" s="71" t="s">
        <v>100</v>
      </c>
      <c r="P4" s="71" t="s">
        <v>101</v>
      </c>
      <c r="Q4" s="2">
        <f t="shared" si="6"/>
        <v>621.9447801099526</v>
      </c>
      <c r="R4" s="12" t="s">
        <v>102</v>
      </c>
      <c r="S4" s="2">
        <f t="shared" si="7"/>
        <v>179.33747542976303</v>
      </c>
      <c r="T4" s="12" t="s">
        <v>103</v>
      </c>
      <c r="U4" s="12" t="s">
        <v>104</v>
      </c>
      <c r="V4" s="2">
        <f t="shared" si="8"/>
        <v>599.60307441668249</v>
      </c>
      <c r="W4" s="71" t="s">
        <v>105</v>
      </c>
      <c r="X4" s="2">
        <f t="shared" si="9"/>
        <v>393.09325422483414</v>
      </c>
      <c r="Y4" s="71" t="s">
        <v>106</v>
      </c>
      <c r="Z4" s="71" t="s">
        <v>107</v>
      </c>
      <c r="AA4" s="2">
        <f t="shared" si="10"/>
        <v>131.03108474161138</v>
      </c>
    </row>
    <row r="5" spans="1:27" s="2" customFormat="1" ht="20.100000000000001" customHeight="1">
      <c r="A5" s="2">
        <v>10406</v>
      </c>
      <c r="B5" s="7" t="s">
        <v>11</v>
      </c>
      <c r="C5" s="2">
        <v>241823</v>
      </c>
      <c r="D5" s="2">
        <v>1049</v>
      </c>
      <c r="E5" s="2">
        <f t="shared" si="0"/>
        <v>230.52716873212583</v>
      </c>
      <c r="F5" s="2">
        <f t="shared" si="1"/>
        <v>69158.150619637745</v>
      </c>
      <c r="G5" s="2">
        <f t="shared" si="2"/>
        <v>6915815.0619637743</v>
      </c>
      <c r="H5" s="2">
        <v>100</v>
      </c>
      <c r="I5" s="4" t="s">
        <v>108</v>
      </c>
      <c r="J5" s="2">
        <f t="shared" si="3"/>
        <v>1666711.4299332695</v>
      </c>
      <c r="K5" s="71" t="s">
        <v>109</v>
      </c>
      <c r="L5" s="2">
        <f t="shared" si="4"/>
        <v>5000.1342897998084</v>
      </c>
      <c r="M5" s="71" t="s">
        <v>99</v>
      </c>
      <c r="N5" s="2">
        <f t="shared" si="5"/>
        <v>1630.0437784747376</v>
      </c>
      <c r="O5" s="71" t="s">
        <v>110</v>
      </c>
      <c r="P5" s="71" t="s">
        <v>111</v>
      </c>
      <c r="Q5" s="2">
        <f t="shared" si="6"/>
        <v>585.01571190657762</v>
      </c>
      <c r="R5" s="12" t="s">
        <v>112</v>
      </c>
      <c r="S5" s="2">
        <f t="shared" si="7"/>
        <v>71.001906915157278</v>
      </c>
      <c r="T5" s="12" t="s">
        <v>113</v>
      </c>
      <c r="U5" s="12" t="s">
        <v>114</v>
      </c>
      <c r="V5" s="2">
        <f t="shared" si="8"/>
        <v>570.01530903717821</v>
      </c>
      <c r="W5" s="71" t="s">
        <v>115</v>
      </c>
      <c r="X5" s="2">
        <f t="shared" si="9"/>
        <v>317.50852740228783</v>
      </c>
      <c r="Y5" s="71" t="s">
        <v>116</v>
      </c>
      <c r="Z5" s="71" t="s">
        <v>117</v>
      </c>
      <c r="AA5" s="2">
        <f t="shared" si="10"/>
        <v>78.502108349856982</v>
      </c>
    </row>
    <row r="6" spans="1:27" s="2" customFormat="1" ht="20.100000000000001" customHeight="1">
      <c r="A6" s="2">
        <v>10407</v>
      </c>
      <c r="B6" s="7" t="s">
        <v>11</v>
      </c>
      <c r="C6" s="2">
        <v>380655</v>
      </c>
      <c r="D6" s="2">
        <v>1077</v>
      </c>
      <c r="E6" s="2">
        <f t="shared" si="0"/>
        <v>353.44011142061282</v>
      </c>
      <c r="F6" s="2">
        <f t="shared" si="1"/>
        <v>106032.03342618384</v>
      </c>
      <c r="G6" s="2">
        <f t="shared" si="2"/>
        <v>10603203.342618383</v>
      </c>
      <c r="H6" s="2">
        <v>100</v>
      </c>
      <c r="I6" s="4" t="s">
        <v>118</v>
      </c>
      <c r="J6" s="2">
        <f t="shared" si="3"/>
        <v>2481149.5821727021</v>
      </c>
      <c r="K6" s="71" t="s">
        <v>119</v>
      </c>
      <c r="L6" s="2">
        <f t="shared" si="4"/>
        <v>7691.5637047353757</v>
      </c>
      <c r="M6" s="71" t="s">
        <v>120</v>
      </c>
      <c r="N6" s="2">
        <f t="shared" si="5"/>
        <v>2269.0112928969356</v>
      </c>
      <c r="O6" s="71" t="s">
        <v>121</v>
      </c>
      <c r="P6" s="71" t="s">
        <v>122</v>
      </c>
      <c r="Q6" s="2">
        <f t="shared" si="6"/>
        <v>600.71112533983285</v>
      </c>
      <c r="R6" s="12" t="s">
        <v>123</v>
      </c>
      <c r="S6" s="2">
        <f t="shared" si="7"/>
        <v>89.991295345403898</v>
      </c>
      <c r="T6" s="12" t="s">
        <v>124</v>
      </c>
      <c r="U6" s="12" t="s">
        <v>125</v>
      </c>
      <c r="V6" s="2">
        <f t="shared" si="8"/>
        <v>572.25233963231187</v>
      </c>
      <c r="W6" s="71" t="s">
        <v>126</v>
      </c>
      <c r="X6" s="2">
        <f t="shared" si="9"/>
        <v>250.74497677437321</v>
      </c>
      <c r="Y6" s="71" t="s">
        <v>127</v>
      </c>
      <c r="Z6" s="71" t="s">
        <v>128</v>
      </c>
      <c r="AA6" s="2">
        <f t="shared" si="10"/>
        <v>174.59849609749304</v>
      </c>
    </row>
    <row r="7" spans="1:27" s="2" customFormat="1" ht="20.100000000000001" customHeight="1">
      <c r="A7" s="2">
        <v>10408</v>
      </c>
      <c r="B7" s="7" t="s">
        <v>11</v>
      </c>
      <c r="C7" s="2">
        <v>273057</v>
      </c>
      <c r="D7" s="2">
        <v>1058</v>
      </c>
      <c r="E7" s="2">
        <f t="shared" si="0"/>
        <v>258.08790170132323</v>
      </c>
      <c r="F7" s="2">
        <f t="shared" si="1"/>
        <v>77426.37051039697</v>
      </c>
      <c r="G7" s="2">
        <f t="shared" si="2"/>
        <v>7742637.0510396967</v>
      </c>
      <c r="H7" s="2">
        <v>100</v>
      </c>
      <c r="I7" s="4" t="s">
        <v>97</v>
      </c>
      <c r="J7" s="2">
        <f t="shared" si="3"/>
        <v>1788549.15879017</v>
      </c>
      <c r="K7" s="71" t="s">
        <v>129</v>
      </c>
      <c r="L7" s="2">
        <f t="shared" si="4"/>
        <v>4650.2278128544422</v>
      </c>
      <c r="M7" s="71" t="s">
        <v>130</v>
      </c>
      <c r="N7" s="2">
        <f t="shared" si="5"/>
        <v>1413.6692551077504</v>
      </c>
      <c r="O7" s="71" t="s">
        <v>131</v>
      </c>
      <c r="P7" s="71" t="s">
        <v>132</v>
      </c>
      <c r="Q7" s="2">
        <f t="shared" si="6"/>
        <v>464.55775850415881</v>
      </c>
      <c r="R7" s="12" t="s">
        <v>133</v>
      </c>
      <c r="S7" s="2">
        <f t="shared" si="7"/>
        <v>108.81533082079395</v>
      </c>
      <c r="T7" s="12" t="s">
        <v>134</v>
      </c>
      <c r="U7" s="12" t="s">
        <v>135</v>
      </c>
      <c r="V7" s="2">
        <f t="shared" si="8"/>
        <v>460.3725534725898</v>
      </c>
      <c r="W7" s="71" t="s">
        <v>136</v>
      </c>
      <c r="X7" s="2">
        <f t="shared" si="9"/>
        <v>104.63012578922495</v>
      </c>
      <c r="Y7" s="71" t="s">
        <v>137</v>
      </c>
      <c r="Z7" s="71" t="s">
        <v>138</v>
      </c>
      <c r="AA7" s="2">
        <f t="shared" si="10"/>
        <v>62.778075473534969</v>
      </c>
    </row>
    <row r="8" spans="1:27" s="8" customFormat="1" ht="20.100000000000001" customHeight="1">
      <c r="A8" s="8">
        <v>10409</v>
      </c>
      <c r="B8" s="8" t="s">
        <v>13</v>
      </c>
      <c r="C8" s="8">
        <v>157968</v>
      </c>
      <c r="D8" s="8">
        <v>1034</v>
      </c>
      <c r="E8" s="8">
        <f t="shared" si="0"/>
        <v>152.77369439071566</v>
      </c>
      <c r="F8" s="8">
        <f t="shared" si="1"/>
        <v>45832.108317214697</v>
      </c>
      <c r="G8" s="8">
        <f t="shared" si="2"/>
        <v>4583210.8317214698</v>
      </c>
      <c r="H8" s="8">
        <v>100</v>
      </c>
      <c r="I8" s="9" t="s">
        <v>139</v>
      </c>
      <c r="J8" s="8">
        <f t="shared" si="3"/>
        <v>1022056.0154738878</v>
      </c>
      <c r="K8" s="72" t="s">
        <v>140</v>
      </c>
      <c r="L8" s="8">
        <f t="shared" si="4"/>
        <v>2452.9344371373304</v>
      </c>
      <c r="M8" s="72" t="s">
        <v>141</v>
      </c>
      <c r="N8" s="8">
        <f t="shared" si="5"/>
        <v>664.74523246421654</v>
      </c>
      <c r="O8" s="72" t="s">
        <v>142</v>
      </c>
      <c r="P8" s="72" t="s">
        <v>143</v>
      </c>
      <c r="Q8" s="8">
        <f t="shared" si="6"/>
        <v>209.72589437524178</v>
      </c>
      <c r="R8" s="13" t="s">
        <v>144</v>
      </c>
      <c r="S8" s="8">
        <f t="shared" si="7"/>
        <v>19.868768940812377</v>
      </c>
      <c r="T8" s="13" t="s">
        <v>145</v>
      </c>
      <c r="U8" s="13" t="s">
        <v>143</v>
      </c>
      <c r="V8" s="8">
        <f t="shared" si="8"/>
        <v>209.72589437524178</v>
      </c>
      <c r="W8" s="72" t="s">
        <v>146</v>
      </c>
      <c r="X8" s="8">
        <f t="shared" si="9"/>
        <v>224.68879444177946</v>
      </c>
      <c r="Y8" s="72" t="s">
        <v>147</v>
      </c>
      <c r="Z8" s="72" t="s">
        <v>148</v>
      </c>
      <c r="AA8" s="8">
        <f t="shared" si="10"/>
        <v>50.039862517601541</v>
      </c>
    </row>
    <row r="9" spans="1:27" s="8" customFormat="1" ht="20.100000000000001" customHeight="1">
      <c r="A9" s="8">
        <v>10410</v>
      </c>
      <c r="B9" s="8" t="s">
        <v>13</v>
      </c>
      <c r="C9" s="8">
        <v>148679</v>
      </c>
      <c r="D9" s="8">
        <v>1037</v>
      </c>
      <c r="E9" s="8">
        <f t="shared" si="0"/>
        <v>143.374156219865</v>
      </c>
      <c r="F9" s="8">
        <f t="shared" si="1"/>
        <v>43012.246865959503</v>
      </c>
      <c r="G9" s="8">
        <f t="shared" si="2"/>
        <v>4301224.6865959503</v>
      </c>
      <c r="H9" s="8">
        <v>100</v>
      </c>
      <c r="I9" s="9" t="s">
        <v>149</v>
      </c>
      <c r="J9" s="8">
        <f t="shared" si="3"/>
        <v>1286066.1812921891</v>
      </c>
      <c r="K9" s="72" t="s">
        <v>150</v>
      </c>
      <c r="L9" s="8">
        <f t="shared" si="4"/>
        <v>2700.7389807135969</v>
      </c>
      <c r="M9" s="72" t="s">
        <v>151</v>
      </c>
      <c r="N9" s="8">
        <f t="shared" si="5"/>
        <v>1137.0111108804242</v>
      </c>
      <c r="O9" s="72" t="s">
        <v>152</v>
      </c>
      <c r="P9" s="72" t="s">
        <v>153</v>
      </c>
      <c r="Q9" s="8">
        <f t="shared" si="6"/>
        <v>232.26355234136932</v>
      </c>
      <c r="R9" s="13" t="s">
        <v>154</v>
      </c>
      <c r="S9" s="8">
        <f t="shared" si="7"/>
        <v>62.927218250626808</v>
      </c>
      <c r="T9" s="13" t="s">
        <v>155</v>
      </c>
      <c r="U9" s="13" t="s">
        <v>156</v>
      </c>
      <c r="V9" s="8">
        <f t="shared" si="8"/>
        <v>217.67956184551593</v>
      </c>
      <c r="W9" s="72" t="s">
        <v>157</v>
      </c>
      <c r="X9" s="8">
        <f t="shared" si="9"/>
        <v>24.30665082642237</v>
      </c>
      <c r="Y9" s="72" t="s">
        <v>158</v>
      </c>
      <c r="Z9" s="72" t="s">
        <v>159</v>
      </c>
      <c r="AA9" s="8">
        <f t="shared" si="10"/>
        <v>67.788548415911279</v>
      </c>
    </row>
    <row r="10" spans="1:27" s="8" customFormat="1" ht="20.100000000000001" customHeight="1">
      <c r="A10" s="8">
        <v>10414</v>
      </c>
      <c r="B10" s="8" t="s">
        <v>13</v>
      </c>
      <c r="C10" s="8">
        <v>280421</v>
      </c>
      <c r="D10" s="8">
        <v>1068</v>
      </c>
      <c r="E10" s="8">
        <f t="shared" si="0"/>
        <v>262.56647940074907</v>
      </c>
      <c r="F10" s="8">
        <f t="shared" si="1"/>
        <v>78769.943820224726</v>
      </c>
      <c r="G10" s="8">
        <f t="shared" si="2"/>
        <v>7876994.3820224721</v>
      </c>
      <c r="H10" s="8">
        <v>100</v>
      </c>
      <c r="I10" s="9" t="s">
        <v>160</v>
      </c>
      <c r="J10" s="8">
        <f t="shared" si="3"/>
        <v>1992879.5786516855</v>
      </c>
      <c r="K10" s="72" t="s">
        <v>76</v>
      </c>
      <c r="L10" s="8">
        <f t="shared" si="4"/>
        <v>4982.1989466292134</v>
      </c>
      <c r="M10" s="72" t="s">
        <v>161</v>
      </c>
      <c r="N10" s="8">
        <f t="shared" si="5"/>
        <v>1933.0931912921349</v>
      </c>
      <c r="O10" s="72" t="s">
        <v>149</v>
      </c>
      <c r="P10" s="72" t="s">
        <v>162</v>
      </c>
      <c r="Q10" s="8">
        <f t="shared" si="6"/>
        <v>577.93507780898881</v>
      </c>
      <c r="R10" s="13" t="s">
        <v>163</v>
      </c>
      <c r="S10" s="8">
        <f t="shared" si="7"/>
        <v>74.234764304775283</v>
      </c>
      <c r="T10" s="13" t="s">
        <v>145</v>
      </c>
      <c r="U10" s="13" t="s">
        <v>162</v>
      </c>
      <c r="V10" s="8">
        <f t="shared" si="8"/>
        <v>577.93507780898881</v>
      </c>
      <c r="W10" s="72" t="s">
        <v>164</v>
      </c>
      <c r="X10" s="8">
        <f t="shared" si="9"/>
        <v>28.398533995786519</v>
      </c>
      <c r="Y10" s="72" t="s">
        <v>165</v>
      </c>
      <c r="Z10" s="72" t="s">
        <v>166</v>
      </c>
      <c r="AA10" s="8">
        <f t="shared" si="10"/>
        <v>68.754345463483148</v>
      </c>
    </row>
    <row r="11" spans="1:27" s="8" customFormat="1" ht="20.100000000000001" customHeight="1">
      <c r="A11" s="8">
        <v>10415</v>
      </c>
      <c r="B11" s="8" t="s">
        <v>13</v>
      </c>
      <c r="C11" s="8">
        <v>120515</v>
      </c>
      <c r="D11" s="8">
        <v>1020</v>
      </c>
      <c r="E11" s="8">
        <f t="shared" si="0"/>
        <v>118.15196078431373</v>
      </c>
      <c r="F11" s="8">
        <f t="shared" si="1"/>
        <v>35445.588235294119</v>
      </c>
      <c r="G11" s="8">
        <f t="shared" si="2"/>
        <v>3544558.823529412</v>
      </c>
      <c r="H11" s="8">
        <v>100</v>
      </c>
      <c r="I11" s="9" t="s">
        <v>167</v>
      </c>
      <c r="J11" s="8">
        <f t="shared" si="3"/>
        <v>786892.05882352951</v>
      </c>
      <c r="K11" s="72" t="s">
        <v>168</v>
      </c>
      <c r="L11" s="8">
        <f t="shared" si="4"/>
        <v>1495.094911764706</v>
      </c>
      <c r="M11" s="72" t="s">
        <v>169</v>
      </c>
      <c r="N11" s="8">
        <f t="shared" si="5"/>
        <v>617.47419855882356</v>
      </c>
      <c r="O11" s="72" t="s">
        <v>170</v>
      </c>
      <c r="P11" s="72" t="s">
        <v>171</v>
      </c>
      <c r="Q11" s="8">
        <f t="shared" si="6"/>
        <v>110.33800448823531</v>
      </c>
      <c r="R11" s="13" t="s">
        <v>172</v>
      </c>
      <c r="S11" s="8">
        <f t="shared" si="7"/>
        <v>40.816091091176474</v>
      </c>
      <c r="T11" s="13" t="s">
        <v>145</v>
      </c>
      <c r="U11" s="13" t="s">
        <v>171</v>
      </c>
      <c r="V11" s="8">
        <f t="shared" si="8"/>
        <v>110.33800448823531</v>
      </c>
      <c r="W11" s="72" t="s">
        <v>173</v>
      </c>
      <c r="X11" s="8">
        <f t="shared" si="9"/>
        <v>50.384698526470594</v>
      </c>
      <c r="Y11" s="72" t="s">
        <v>174</v>
      </c>
      <c r="Z11" s="72" t="s">
        <v>175</v>
      </c>
      <c r="AA11" s="8">
        <f t="shared" si="10"/>
        <v>59.953305961764706</v>
      </c>
    </row>
    <row r="12" spans="1:27" s="8" customFormat="1" ht="20.100000000000001" customHeight="1">
      <c r="A12" s="8">
        <v>10416</v>
      </c>
      <c r="B12" s="8" t="s">
        <v>13</v>
      </c>
      <c r="C12" s="8">
        <v>229928</v>
      </c>
      <c r="D12" s="8">
        <v>1039</v>
      </c>
      <c r="E12" s="8">
        <f t="shared" si="0"/>
        <v>221.29740134744947</v>
      </c>
      <c r="F12" s="8">
        <f t="shared" si="1"/>
        <v>66389.220404234846</v>
      </c>
      <c r="G12" s="8">
        <f t="shared" si="2"/>
        <v>6638922.0404234845</v>
      </c>
      <c r="H12" s="8">
        <v>100</v>
      </c>
      <c r="I12" s="9" t="s">
        <v>176</v>
      </c>
      <c r="J12" s="8">
        <f t="shared" si="3"/>
        <v>1460562.8488931665</v>
      </c>
      <c r="K12" s="72" t="s">
        <v>177</v>
      </c>
      <c r="L12" s="8">
        <f t="shared" si="4"/>
        <v>2921.1256977863331</v>
      </c>
      <c r="M12" s="72" t="s">
        <v>178</v>
      </c>
      <c r="N12" s="8">
        <f t="shared" si="5"/>
        <v>1387.5347064485081</v>
      </c>
      <c r="O12" s="72" t="s">
        <v>179</v>
      </c>
      <c r="P12" s="72" t="s">
        <v>180</v>
      </c>
      <c r="Q12" s="8">
        <f t="shared" si="6"/>
        <v>444.01110606352262</v>
      </c>
      <c r="R12" s="13" t="s">
        <v>181</v>
      </c>
      <c r="S12" s="8">
        <f t="shared" si="7"/>
        <v>58.130401385948034</v>
      </c>
      <c r="T12" s="13" t="s">
        <v>182</v>
      </c>
      <c r="U12" s="13" t="s">
        <v>183</v>
      </c>
      <c r="V12" s="8">
        <f t="shared" si="8"/>
        <v>429.40547757459098</v>
      </c>
      <c r="W12" s="72" t="s">
        <v>184</v>
      </c>
      <c r="X12" s="8">
        <f t="shared" si="9"/>
        <v>48.78279915303176</v>
      </c>
      <c r="Y12" s="72" t="s">
        <v>185</v>
      </c>
      <c r="Z12" s="72" t="s">
        <v>159</v>
      </c>
      <c r="AA12" s="8">
        <f t="shared" si="10"/>
        <v>73.320255014436967</v>
      </c>
    </row>
    <row r="13" spans="1:27" s="8" customFormat="1" ht="20.100000000000001" customHeight="1">
      <c r="A13" s="8">
        <v>10417</v>
      </c>
      <c r="B13" s="8" t="s">
        <v>13</v>
      </c>
      <c r="C13" s="8">
        <v>130368</v>
      </c>
      <c r="D13" s="8">
        <v>1026</v>
      </c>
      <c r="E13" s="8">
        <f t="shared" si="0"/>
        <v>127.06432748538012</v>
      </c>
      <c r="F13" s="8">
        <f t="shared" si="1"/>
        <v>38119.298245614038</v>
      </c>
      <c r="G13" s="8">
        <f t="shared" si="2"/>
        <v>3811929.8245614036</v>
      </c>
      <c r="H13" s="8">
        <v>100</v>
      </c>
      <c r="I13" s="9" t="s">
        <v>186</v>
      </c>
      <c r="J13" s="8">
        <f t="shared" si="3"/>
        <v>960606.31578947371</v>
      </c>
      <c r="K13" s="72" t="s">
        <v>140</v>
      </c>
      <c r="L13" s="8">
        <f t="shared" si="4"/>
        <v>2305.4551578947367</v>
      </c>
      <c r="M13" s="72" t="s">
        <v>187</v>
      </c>
      <c r="N13" s="8">
        <f t="shared" si="5"/>
        <v>1113.5348412631577</v>
      </c>
      <c r="O13" s="72" t="s">
        <v>188</v>
      </c>
      <c r="P13" s="72" t="s">
        <v>189</v>
      </c>
      <c r="Q13" s="8">
        <f t="shared" si="6"/>
        <v>251.29461221052628</v>
      </c>
      <c r="R13" s="13" t="s">
        <v>112</v>
      </c>
      <c r="S13" s="8">
        <f t="shared" si="7"/>
        <v>32.737463242105264</v>
      </c>
      <c r="T13" s="13" t="s">
        <v>103</v>
      </c>
      <c r="U13" s="13" t="s">
        <v>190</v>
      </c>
      <c r="V13" s="8">
        <f t="shared" si="8"/>
        <v>242.07279157894735</v>
      </c>
      <c r="W13" s="72" t="s">
        <v>191</v>
      </c>
      <c r="X13" s="8">
        <f t="shared" si="9"/>
        <v>35.27346391578947</v>
      </c>
      <c r="Y13" s="72" t="s">
        <v>192</v>
      </c>
      <c r="Z13" s="72" t="s">
        <v>193</v>
      </c>
      <c r="AA13" s="8">
        <f t="shared" si="10"/>
        <v>54.408741726315782</v>
      </c>
    </row>
    <row r="14" spans="1:27" s="5" customFormat="1" ht="20.100000000000001" customHeight="1">
      <c r="A14" s="5">
        <v>10411</v>
      </c>
      <c r="B14" s="5" t="s">
        <v>14</v>
      </c>
      <c r="C14" s="5">
        <v>404000</v>
      </c>
      <c r="D14" s="5">
        <v>1094</v>
      </c>
      <c r="E14" s="5">
        <f t="shared" si="0"/>
        <v>369.28702010968919</v>
      </c>
      <c r="F14" s="5">
        <f t="shared" si="1"/>
        <v>110786.10603290675</v>
      </c>
      <c r="G14" s="5">
        <f t="shared" si="2"/>
        <v>11078610.603290675</v>
      </c>
      <c r="H14" s="5">
        <v>100</v>
      </c>
      <c r="I14" s="10" t="s">
        <v>97</v>
      </c>
      <c r="J14" s="5">
        <f t="shared" si="3"/>
        <v>2559159.0493601463</v>
      </c>
      <c r="K14" s="73" t="s">
        <v>194</v>
      </c>
      <c r="L14" s="5">
        <f t="shared" si="4"/>
        <v>7421.5612431444233</v>
      </c>
      <c r="M14" s="73" t="s">
        <v>195</v>
      </c>
      <c r="N14" s="5">
        <f t="shared" si="5"/>
        <v>2976.0460585009141</v>
      </c>
      <c r="O14" s="73" t="s">
        <v>196</v>
      </c>
      <c r="P14" s="73" t="s">
        <v>197</v>
      </c>
      <c r="Q14" s="5">
        <f t="shared" si="6"/>
        <v>1224.55760511883</v>
      </c>
      <c r="R14" s="14" t="s">
        <v>198</v>
      </c>
      <c r="S14" s="5">
        <f t="shared" si="7"/>
        <v>255.30170676416816</v>
      </c>
      <c r="T14" s="14" t="s">
        <v>134</v>
      </c>
      <c r="U14" s="14" t="s">
        <v>199</v>
      </c>
      <c r="V14" s="5">
        <f t="shared" si="8"/>
        <v>1217.1360438756856</v>
      </c>
      <c r="W14" s="73" t="s">
        <v>200</v>
      </c>
      <c r="X14" s="5">
        <f t="shared" si="9"/>
        <v>85.347954296160864</v>
      </c>
      <c r="Y14" s="73" t="s">
        <v>201</v>
      </c>
      <c r="Z14" s="73" t="s">
        <v>202</v>
      </c>
      <c r="AA14" s="5">
        <f t="shared" si="10"/>
        <v>153.62631773308956</v>
      </c>
    </row>
    <row r="15" spans="1:27" s="5" customFormat="1" ht="20.100000000000001" customHeight="1">
      <c r="A15" s="5">
        <v>10412</v>
      </c>
      <c r="B15" s="5" t="s">
        <v>14</v>
      </c>
      <c r="C15" s="5">
        <v>236463</v>
      </c>
      <c r="D15" s="5">
        <v>1051</v>
      </c>
      <c r="E15" s="5">
        <f t="shared" si="0"/>
        <v>224.98858230256897</v>
      </c>
      <c r="F15" s="5">
        <f t="shared" si="1"/>
        <v>67496.574690770693</v>
      </c>
      <c r="G15" s="5">
        <f t="shared" si="2"/>
        <v>6749657.4690770693</v>
      </c>
      <c r="H15" s="5">
        <v>100</v>
      </c>
      <c r="I15" s="10" t="s">
        <v>203</v>
      </c>
      <c r="J15" s="5">
        <f t="shared" si="3"/>
        <v>1552421.2178877259</v>
      </c>
      <c r="K15" s="73" t="s">
        <v>168</v>
      </c>
      <c r="L15" s="5">
        <f t="shared" si="4"/>
        <v>2949.6003139866793</v>
      </c>
      <c r="M15" s="73" t="s">
        <v>204</v>
      </c>
      <c r="N15" s="5">
        <f t="shared" si="5"/>
        <v>1439.4049532254994</v>
      </c>
      <c r="O15" s="73" t="s">
        <v>205</v>
      </c>
      <c r="P15" s="73" t="s">
        <v>152</v>
      </c>
      <c r="Q15" s="5">
        <f t="shared" si="6"/>
        <v>601.71846405328256</v>
      </c>
      <c r="R15" s="14" t="s">
        <v>206</v>
      </c>
      <c r="S15" s="5">
        <f t="shared" si="7"/>
        <v>257.20514737963845</v>
      </c>
      <c r="T15" s="14" t="s">
        <v>207</v>
      </c>
      <c r="U15" s="14" t="s">
        <v>208</v>
      </c>
      <c r="V15" s="5">
        <f t="shared" si="8"/>
        <v>584.02086216936254</v>
      </c>
      <c r="W15" s="73" t="s">
        <v>209</v>
      </c>
      <c r="X15" s="5">
        <f t="shared" si="9"/>
        <v>25.661522731684109</v>
      </c>
      <c r="Y15" s="73" t="s">
        <v>210</v>
      </c>
      <c r="Z15" s="73" t="s">
        <v>211</v>
      </c>
      <c r="AA15" s="5">
        <f t="shared" si="10"/>
        <v>55.157525871550909</v>
      </c>
    </row>
    <row r="16" spans="1:27" s="5" customFormat="1" ht="20.100000000000001" customHeight="1">
      <c r="A16" s="5">
        <v>10413</v>
      </c>
      <c r="B16" s="5" t="s">
        <v>14</v>
      </c>
      <c r="C16" s="5">
        <v>218611</v>
      </c>
      <c r="D16" s="5">
        <v>1045</v>
      </c>
      <c r="E16" s="5">
        <f t="shared" si="0"/>
        <v>209.19712918660287</v>
      </c>
      <c r="F16" s="5">
        <f t="shared" si="1"/>
        <v>62759.138755980857</v>
      </c>
      <c r="G16" s="5">
        <f t="shared" si="2"/>
        <v>6275913.875598086</v>
      </c>
      <c r="H16" s="5">
        <v>100</v>
      </c>
      <c r="I16" s="10" t="s">
        <v>212</v>
      </c>
      <c r="J16" s="5">
        <f t="shared" si="3"/>
        <v>1575254.3827751195</v>
      </c>
      <c r="K16" s="73" t="s">
        <v>213</v>
      </c>
      <c r="L16" s="5">
        <f t="shared" si="4"/>
        <v>5040.8140248803829</v>
      </c>
      <c r="M16" s="73" t="s">
        <v>214</v>
      </c>
      <c r="N16" s="5">
        <f t="shared" si="5"/>
        <v>2328.8560794947371</v>
      </c>
      <c r="O16" s="73" t="s">
        <v>215</v>
      </c>
      <c r="P16" s="73" t="s">
        <v>216</v>
      </c>
      <c r="Q16" s="5">
        <f t="shared" si="6"/>
        <v>1023.2852470507178</v>
      </c>
      <c r="R16" s="14" t="s">
        <v>217</v>
      </c>
      <c r="S16" s="5">
        <f t="shared" si="7"/>
        <v>210.70602624</v>
      </c>
      <c r="T16" s="14" t="s">
        <v>218</v>
      </c>
      <c r="U16" s="14" t="s">
        <v>219</v>
      </c>
      <c r="V16" s="5">
        <f t="shared" si="8"/>
        <v>1018.2444330258375</v>
      </c>
      <c r="W16" s="73" t="s">
        <v>220</v>
      </c>
      <c r="X16" s="5">
        <f t="shared" si="9"/>
        <v>37.806105186602871</v>
      </c>
      <c r="Y16" s="73" t="s">
        <v>221</v>
      </c>
      <c r="Z16" s="73" t="s">
        <v>222</v>
      </c>
      <c r="AA16" s="5">
        <f t="shared" si="10"/>
        <v>67.546907933397137</v>
      </c>
    </row>
    <row r="17" spans="1:27" s="5" customFormat="1" ht="20.100000000000001" customHeight="1">
      <c r="A17" s="5">
        <v>10430</v>
      </c>
      <c r="B17" s="5" t="s">
        <v>14</v>
      </c>
      <c r="C17" s="5">
        <v>255808</v>
      </c>
      <c r="D17" s="5">
        <v>1054</v>
      </c>
      <c r="E17" s="5">
        <f t="shared" si="0"/>
        <v>242.7020872865275</v>
      </c>
      <c r="F17" s="5">
        <f t="shared" si="1"/>
        <v>72810.626185958245</v>
      </c>
      <c r="G17" s="5">
        <f t="shared" si="2"/>
        <v>7281062.6185958246</v>
      </c>
      <c r="H17" s="5">
        <v>100</v>
      </c>
      <c r="I17" s="10" t="s">
        <v>223</v>
      </c>
      <c r="J17" s="5">
        <f t="shared" si="3"/>
        <v>1652801.2144212523</v>
      </c>
      <c r="K17" s="73" t="s">
        <v>224</v>
      </c>
      <c r="L17" s="5">
        <f t="shared" si="4"/>
        <v>3801.4427931688801</v>
      </c>
      <c r="M17" s="73" t="s">
        <v>225</v>
      </c>
      <c r="N17" s="5">
        <f t="shared" si="5"/>
        <v>1429.3424902314989</v>
      </c>
      <c r="O17" s="73" t="s">
        <v>226</v>
      </c>
      <c r="P17" s="73" t="s">
        <v>227</v>
      </c>
      <c r="Q17" s="5">
        <f t="shared" si="6"/>
        <v>657.64960321821627</v>
      </c>
      <c r="R17" s="14" t="s">
        <v>228</v>
      </c>
      <c r="S17" s="5">
        <f t="shared" si="7"/>
        <v>68.806114556356732</v>
      </c>
      <c r="T17" s="14" t="s">
        <v>145</v>
      </c>
      <c r="U17" s="14" t="s">
        <v>227</v>
      </c>
      <c r="V17" s="5">
        <f t="shared" si="8"/>
        <v>657.64960321821627</v>
      </c>
      <c r="W17" s="73" t="s">
        <v>229</v>
      </c>
      <c r="X17" s="5">
        <f t="shared" si="9"/>
        <v>96.17650266717267</v>
      </c>
      <c r="Y17" s="73" t="s">
        <v>230</v>
      </c>
      <c r="Z17" s="73" t="s">
        <v>231</v>
      </c>
      <c r="AA17" s="5">
        <f t="shared" si="10"/>
        <v>65.004671763187858</v>
      </c>
    </row>
    <row r="18" spans="1:27" s="5" customFormat="1" ht="20.100000000000001" customHeight="1">
      <c r="A18" s="5">
        <v>10431</v>
      </c>
      <c r="B18" s="5" t="s">
        <v>14</v>
      </c>
      <c r="C18" s="5">
        <v>276240</v>
      </c>
      <c r="D18" s="5">
        <v>1078</v>
      </c>
      <c r="E18" s="5">
        <f t="shared" si="0"/>
        <v>256.25231910946195</v>
      </c>
      <c r="F18" s="5">
        <f t="shared" si="1"/>
        <v>76875.695732838591</v>
      </c>
      <c r="G18" s="5">
        <f t="shared" si="2"/>
        <v>7687569.5732838586</v>
      </c>
      <c r="H18" s="5">
        <v>100</v>
      </c>
      <c r="I18" s="10" t="s">
        <v>232</v>
      </c>
      <c r="J18" s="5">
        <f t="shared" si="3"/>
        <v>2075643.7847866421</v>
      </c>
      <c r="K18" s="73" t="s">
        <v>129</v>
      </c>
      <c r="L18" s="5">
        <f t="shared" si="4"/>
        <v>5396.673840445269</v>
      </c>
      <c r="M18" s="73" t="s">
        <v>233</v>
      </c>
      <c r="N18" s="5">
        <f t="shared" si="5"/>
        <v>2590.4034434137288</v>
      </c>
      <c r="O18" s="73" t="s">
        <v>234</v>
      </c>
      <c r="P18" s="73" t="s">
        <v>235</v>
      </c>
      <c r="Q18" s="5">
        <f t="shared" si="6"/>
        <v>917.43455287569577</v>
      </c>
      <c r="R18" s="14" t="s">
        <v>236</v>
      </c>
      <c r="S18" s="5">
        <f t="shared" si="7"/>
        <v>186.7249148794063</v>
      </c>
      <c r="T18" s="14" t="s">
        <v>237</v>
      </c>
      <c r="U18" s="14" t="s">
        <v>238</v>
      </c>
      <c r="V18" s="5">
        <f t="shared" si="8"/>
        <v>906.64120519480525</v>
      </c>
      <c r="W18" s="73" t="s">
        <v>239</v>
      </c>
      <c r="X18" s="5">
        <f t="shared" si="9"/>
        <v>52.887403636363636</v>
      </c>
      <c r="Y18" s="73" t="s">
        <v>240</v>
      </c>
      <c r="Z18" s="73" t="s">
        <v>241</v>
      </c>
      <c r="AA18" s="5">
        <f t="shared" si="10"/>
        <v>71.775762077922067</v>
      </c>
    </row>
    <row r="19" spans="1:27" s="5" customFormat="1" ht="20.100000000000001" customHeight="1">
      <c r="A19" s="5">
        <v>10432</v>
      </c>
      <c r="B19" s="5" t="s">
        <v>14</v>
      </c>
      <c r="C19" s="5">
        <v>183042</v>
      </c>
      <c r="D19" s="5">
        <v>1021</v>
      </c>
      <c r="E19" s="5">
        <f t="shared" si="0"/>
        <v>179.27717923604308</v>
      </c>
      <c r="F19" s="5">
        <f t="shared" si="1"/>
        <v>53783.153770812925</v>
      </c>
      <c r="G19" s="5">
        <f t="shared" si="2"/>
        <v>5378315.3770812927</v>
      </c>
      <c r="H19" s="5">
        <v>100</v>
      </c>
      <c r="I19" s="10" t="s">
        <v>242</v>
      </c>
      <c r="J19" s="5">
        <f t="shared" si="3"/>
        <v>1344578.8442703232</v>
      </c>
      <c r="K19" s="73" t="s">
        <v>243</v>
      </c>
      <c r="L19" s="5">
        <f t="shared" si="4"/>
        <v>3630.3628795298728</v>
      </c>
      <c r="M19" s="73" t="s">
        <v>244</v>
      </c>
      <c r="N19" s="5">
        <f t="shared" si="5"/>
        <v>1604.6203927522038</v>
      </c>
      <c r="O19" s="73" t="s">
        <v>245</v>
      </c>
      <c r="P19" s="73" t="s">
        <v>246</v>
      </c>
      <c r="Q19" s="5">
        <f t="shared" si="6"/>
        <v>428.38281978452494</v>
      </c>
      <c r="R19" s="14" t="s">
        <v>247</v>
      </c>
      <c r="S19" s="5">
        <f t="shared" si="7"/>
        <v>144.12540631733594</v>
      </c>
      <c r="T19" s="14" t="s">
        <v>218</v>
      </c>
      <c r="U19" s="14" t="s">
        <v>111</v>
      </c>
      <c r="V19" s="5">
        <f t="shared" si="8"/>
        <v>424.75245690499514</v>
      </c>
      <c r="W19" s="73" t="s">
        <v>248</v>
      </c>
      <c r="X19" s="5">
        <f t="shared" si="9"/>
        <v>60.264023800195886</v>
      </c>
      <c r="Y19" s="73" t="s">
        <v>249</v>
      </c>
      <c r="Z19" s="73" t="s">
        <v>250</v>
      </c>
      <c r="AA19" s="5">
        <f t="shared" si="10"/>
        <v>83.861382517140058</v>
      </c>
    </row>
    <row r="20" spans="1:27" s="6" customFormat="1" ht="20.100000000000001" customHeight="1">
      <c r="A20" s="6">
        <v>10418</v>
      </c>
      <c r="B20" s="6" t="s">
        <v>15</v>
      </c>
      <c r="C20" s="6">
        <v>132018</v>
      </c>
      <c r="D20" s="6">
        <v>1024</v>
      </c>
      <c r="E20" s="6">
        <f t="shared" si="0"/>
        <v>128.923828125</v>
      </c>
      <c r="F20" s="6">
        <f t="shared" si="1"/>
        <v>38677.1484375</v>
      </c>
      <c r="G20" s="6">
        <f t="shared" si="2"/>
        <v>3867714.84375</v>
      </c>
      <c r="H20" s="6">
        <v>100</v>
      </c>
      <c r="I20" s="11" t="s">
        <v>251</v>
      </c>
      <c r="J20" s="6">
        <f t="shared" si="3"/>
        <v>1148711.30859375</v>
      </c>
      <c r="K20" s="74" t="s">
        <v>224</v>
      </c>
      <c r="L20" s="6">
        <f t="shared" si="4"/>
        <v>2642.0360097656248</v>
      </c>
      <c r="M20" s="74" t="s">
        <v>252</v>
      </c>
      <c r="N20" s="6">
        <f t="shared" si="5"/>
        <v>1318.3759688730468</v>
      </c>
      <c r="O20" s="74" t="s">
        <v>253</v>
      </c>
      <c r="P20" s="74" t="s">
        <v>254</v>
      </c>
      <c r="Q20" s="6">
        <f t="shared" si="6"/>
        <v>324.97042920117184</v>
      </c>
      <c r="R20" s="15" t="s">
        <v>255</v>
      </c>
      <c r="S20" s="6">
        <f t="shared" si="7"/>
        <v>45.70722296894531</v>
      </c>
      <c r="T20" s="15" t="s">
        <v>256</v>
      </c>
      <c r="U20" s="15" t="s">
        <v>257</v>
      </c>
      <c r="V20" s="6">
        <f t="shared" si="8"/>
        <v>319.68635718164057</v>
      </c>
      <c r="W20" s="74" t="s">
        <v>258</v>
      </c>
      <c r="X20" s="6">
        <f t="shared" si="9"/>
        <v>16.644826861523438</v>
      </c>
      <c r="Y20" s="74" t="s">
        <v>259</v>
      </c>
      <c r="Z20" s="74" t="s">
        <v>260</v>
      </c>
      <c r="AA20" s="6">
        <f t="shared" si="10"/>
        <v>87.45139192324217</v>
      </c>
    </row>
    <row r="21" spans="1:27" s="6" customFormat="1" ht="20.100000000000001" customHeight="1">
      <c r="A21" s="6">
        <v>10419</v>
      </c>
      <c r="B21" s="6" t="s">
        <v>15</v>
      </c>
      <c r="C21" s="6">
        <v>119891</v>
      </c>
      <c r="D21" s="6">
        <v>1026</v>
      </c>
      <c r="E21" s="6">
        <f t="shared" si="0"/>
        <v>116.85282651072124</v>
      </c>
      <c r="F21" s="6">
        <f t="shared" si="1"/>
        <v>35055.847953216376</v>
      </c>
      <c r="G21" s="6">
        <f t="shared" si="2"/>
        <v>3505584.7953216378</v>
      </c>
      <c r="H21" s="6">
        <v>100</v>
      </c>
      <c r="I21" s="11" t="s">
        <v>261</v>
      </c>
      <c r="J21" s="6">
        <f t="shared" si="3"/>
        <v>1097248.0409356726</v>
      </c>
      <c r="K21" s="74" t="s">
        <v>262</v>
      </c>
      <c r="L21" s="6">
        <f t="shared" si="4"/>
        <v>3620.9185350877196</v>
      </c>
      <c r="M21" s="74" t="s">
        <v>263</v>
      </c>
      <c r="N21" s="6">
        <f t="shared" si="5"/>
        <v>1810.4592675438598</v>
      </c>
      <c r="O21" s="74" t="s">
        <v>264</v>
      </c>
      <c r="P21" s="74" t="s">
        <v>146</v>
      </c>
      <c r="Q21" s="6">
        <f t="shared" si="6"/>
        <v>331.67613781403514</v>
      </c>
      <c r="R21" s="15" t="s">
        <v>211</v>
      </c>
      <c r="S21" s="6">
        <f t="shared" si="7"/>
        <v>67.711176606140356</v>
      </c>
      <c r="T21" s="15" t="s">
        <v>265</v>
      </c>
      <c r="U21" s="15" t="s">
        <v>266</v>
      </c>
      <c r="V21" s="6">
        <f t="shared" si="8"/>
        <v>317.55455552719303</v>
      </c>
      <c r="W21" s="74" t="s">
        <v>267</v>
      </c>
      <c r="X21" s="6">
        <f t="shared" si="9"/>
        <v>35.847093497368427</v>
      </c>
      <c r="Y21" s="74" t="s">
        <v>268</v>
      </c>
      <c r="Z21" s="74" t="s">
        <v>269</v>
      </c>
      <c r="AA21" s="6">
        <f t="shared" si="10"/>
        <v>142.66419028245613</v>
      </c>
    </row>
    <row r="22" spans="1:27" s="6" customFormat="1" ht="20.100000000000001" customHeight="1">
      <c r="A22" s="6">
        <v>10420</v>
      </c>
      <c r="B22" s="6" t="s">
        <v>15</v>
      </c>
      <c r="C22" s="6">
        <v>207079</v>
      </c>
      <c r="D22" s="6">
        <v>1030</v>
      </c>
      <c r="E22" s="6">
        <f t="shared" si="0"/>
        <v>201.04757281553398</v>
      </c>
      <c r="F22" s="6">
        <f t="shared" si="1"/>
        <v>60314.271844660194</v>
      </c>
      <c r="G22" s="6">
        <f t="shared" si="2"/>
        <v>6031427.1844660193</v>
      </c>
      <c r="H22" s="6">
        <v>100</v>
      </c>
      <c r="I22" s="11" t="s">
        <v>270</v>
      </c>
      <c r="J22" s="6">
        <f t="shared" si="3"/>
        <v>1700862.4660194172</v>
      </c>
      <c r="K22" s="74" t="s">
        <v>271</v>
      </c>
      <c r="L22" s="6">
        <f t="shared" si="4"/>
        <v>11906.03726213592</v>
      </c>
      <c r="M22" s="74" t="s">
        <v>272</v>
      </c>
      <c r="N22" s="6">
        <f t="shared" si="5"/>
        <v>5226.7503580776693</v>
      </c>
      <c r="O22" s="74" t="s">
        <v>253</v>
      </c>
      <c r="P22" s="74" t="s">
        <v>273</v>
      </c>
      <c r="Q22" s="6">
        <f t="shared" si="6"/>
        <v>1285.8520243106793</v>
      </c>
      <c r="R22" s="15" t="s">
        <v>274</v>
      </c>
      <c r="S22" s="6">
        <f t="shared" si="7"/>
        <v>142.87244714563104</v>
      </c>
      <c r="T22" s="15" t="s">
        <v>256</v>
      </c>
      <c r="U22" s="15" t="s">
        <v>275</v>
      </c>
      <c r="V22" s="6">
        <f t="shared" si="8"/>
        <v>1273.9459870485434</v>
      </c>
      <c r="W22" s="74" t="s">
        <v>276</v>
      </c>
      <c r="X22" s="6">
        <f t="shared" si="9"/>
        <v>150.01606950291259</v>
      </c>
      <c r="Y22" s="74" t="s">
        <v>277</v>
      </c>
      <c r="Z22" s="74" t="s">
        <v>278</v>
      </c>
      <c r="AA22" s="6">
        <f t="shared" si="10"/>
        <v>496.48175383106786</v>
      </c>
    </row>
    <row r="23" spans="1:27" s="6" customFormat="1" ht="20.100000000000001" customHeight="1">
      <c r="A23" s="6">
        <v>10421</v>
      </c>
      <c r="B23" s="6" t="s">
        <v>15</v>
      </c>
      <c r="C23" s="6">
        <v>135699</v>
      </c>
      <c r="D23" s="6">
        <v>1024</v>
      </c>
      <c r="E23" s="6">
        <f t="shared" si="0"/>
        <v>132.5185546875</v>
      </c>
      <c r="F23" s="6">
        <f t="shared" si="1"/>
        <v>39755.56640625</v>
      </c>
      <c r="G23" s="6">
        <f t="shared" si="2"/>
        <v>3975556.640625</v>
      </c>
      <c r="H23" s="6">
        <v>100</v>
      </c>
      <c r="I23" s="11" t="s">
        <v>279</v>
      </c>
      <c r="J23" s="6">
        <f t="shared" si="3"/>
        <v>1387469.267578125</v>
      </c>
      <c r="K23" s="74" t="s">
        <v>280</v>
      </c>
      <c r="L23" s="6">
        <f t="shared" si="4"/>
        <v>5966.117850585938</v>
      </c>
      <c r="M23" s="74" t="s">
        <v>281</v>
      </c>
      <c r="N23" s="6">
        <f t="shared" si="5"/>
        <v>3227.6697571669924</v>
      </c>
      <c r="O23" s="74" t="s">
        <v>121</v>
      </c>
      <c r="P23" s="74" t="s">
        <v>282</v>
      </c>
      <c r="Q23" s="6">
        <f t="shared" si="6"/>
        <v>853.15485263378901</v>
      </c>
      <c r="R23" s="15" t="s">
        <v>91</v>
      </c>
      <c r="S23" s="6">
        <f t="shared" si="7"/>
        <v>66.820519926562511</v>
      </c>
      <c r="T23" s="15" t="s">
        <v>134</v>
      </c>
      <c r="U23" s="15" t="s">
        <v>283</v>
      </c>
      <c r="V23" s="6">
        <f t="shared" si="8"/>
        <v>847.18873478320313</v>
      </c>
      <c r="W23" s="74" t="s">
        <v>284</v>
      </c>
      <c r="X23" s="6">
        <f t="shared" si="9"/>
        <v>7.1593414207031252</v>
      </c>
      <c r="Y23" s="74" t="s">
        <v>285</v>
      </c>
      <c r="Z23" s="74" t="s">
        <v>260</v>
      </c>
      <c r="AA23" s="6">
        <f t="shared" si="10"/>
        <v>197.47850085439453</v>
      </c>
    </row>
    <row r="24" spans="1:27" s="6" customFormat="1" ht="20.100000000000001" customHeight="1">
      <c r="A24" s="6">
        <v>10422</v>
      </c>
      <c r="B24" s="6" t="s">
        <v>15</v>
      </c>
      <c r="C24" s="6">
        <v>242003</v>
      </c>
      <c r="D24" s="6">
        <v>1043</v>
      </c>
      <c r="E24" s="6">
        <f t="shared" si="0"/>
        <v>232.02588686481303</v>
      </c>
      <c r="F24" s="6">
        <f t="shared" si="1"/>
        <v>69607.766059443908</v>
      </c>
      <c r="G24" s="6">
        <f t="shared" si="2"/>
        <v>6960776.6059443904</v>
      </c>
      <c r="H24" s="6">
        <v>100</v>
      </c>
      <c r="I24" s="11" t="s">
        <v>286</v>
      </c>
      <c r="J24" s="6">
        <f t="shared" si="3"/>
        <v>2046468.3221476506</v>
      </c>
      <c r="K24" s="74" t="s">
        <v>287</v>
      </c>
      <c r="L24" s="6">
        <f t="shared" si="4"/>
        <v>8185.8732885906029</v>
      </c>
      <c r="M24" s="74" t="s">
        <v>288</v>
      </c>
      <c r="N24" s="6">
        <f t="shared" si="5"/>
        <v>3757.3158394630868</v>
      </c>
      <c r="O24" s="74" t="s">
        <v>289</v>
      </c>
      <c r="P24" s="74" t="s">
        <v>246</v>
      </c>
      <c r="Q24" s="6">
        <f t="shared" si="6"/>
        <v>965.9330480536911</v>
      </c>
      <c r="R24" s="15" t="s">
        <v>290</v>
      </c>
      <c r="S24" s="6">
        <f t="shared" si="7"/>
        <v>88.407431516778516</v>
      </c>
      <c r="T24" s="15" t="s">
        <v>291</v>
      </c>
      <c r="U24" s="15" t="s">
        <v>162</v>
      </c>
      <c r="V24" s="6">
        <f t="shared" si="8"/>
        <v>949.56130147651004</v>
      </c>
      <c r="W24" s="74" t="s">
        <v>292</v>
      </c>
      <c r="X24" s="6">
        <f t="shared" si="9"/>
        <v>176.81486303355703</v>
      </c>
      <c r="Y24" s="74" t="s">
        <v>293</v>
      </c>
      <c r="Z24" s="74" t="s">
        <v>294</v>
      </c>
      <c r="AA24" s="6">
        <f t="shared" si="10"/>
        <v>473.96206340939591</v>
      </c>
    </row>
    <row r="25" spans="1:27" s="6" customFormat="1" ht="20.100000000000001" customHeight="1">
      <c r="A25" s="6">
        <v>10423</v>
      </c>
      <c r="B25" s="6" t="s">
        <v>15</v>
      </c>
      <c r="C25" s="6">
        <v>307493</v>
      </c>
      <c r="D25" s="6">
        <v>1066</v>
      </c>
      <c r="E25" s="6">
        <f t="shared" si="0"/>
        <v>288.4549718574109</v>
      </c>
      <c r="F25" s="6">
        <f t="shared" si="1"/>
        <v>86536.491557223271</v>
      </c>
      <c r="G25" s="6">
        <f t="shared" si="2"/>
        <v>8653649.1557223275</v>
      </c>
      <c r="H25" s="6">
        <v>100</v>
      </c>
      <c r="I25" s="11" t="s">
        <v>295</v>
      </c>
      <c r="J25" s="6">
        <f t="shared" si="3"/>
        <v>2448982.7110694186</v>
      </c>
      <c r="K25" s="74" t="s">
        <v>98</v>
      </c>
      <c r="L25" s="6">
        <f t="shared" si="4"/>
        <v>9306.1343020637905</v>
      </c>
      <c r="M25" s="74" t="s">
        <v>296</v>
      </c>
      <c r="N25" s="6">
        <f t="shared" si="5"/>
        <v>4662.3732853339588</v>
      </c>
      <c r="O25" s="74" t="s">
        <v>297</v>
      </c>
      <c r="P25" s="74" t="s">
        <v>298</v>
      </c>
      <c r="Q25" s="6">
        <f t="shared" si="6"/>
        <v>1433.1446825178236</v>
      </c>
      <c r="R25" s="15" t="s">
        <v>299</v>
      </c>
      <c r="S25" s="6">
        <f t="shared" si="7"/>
        <v>82.824595288367732</v>
      </c>
      <c r="T25" s="15" t="s">
        <v>300</v>
      </c>
      <c r="U25" s="15" t="s">
        <v>301</v>
      </c>
      <c r="V25" s="6">
        <f t="shared" si="8"/>
        <v>1405.2262796116324</v>
      </c>
      <c r="W25" s="74" t="s">
        <v>302</v>
      </c>
      <c r="X25" s="6">
        <f t="shared" si="9"/>
        <v>47.461284940525339</v>
      </c>
      <c r="Y25" s="74" t="s">
        <v>146</v>
      </c>
      <c r="Z25" s="74" t="s">
        <v>303</v>
      </c>
      <c r="AA25" s="6">
        <f t="shared" si="10"/>
        <v>427.15156446472804</v>
      </c>
    </row>
    <row r="26" spans="1:27" s="6" customFormat="1">
      <c r="I26" s="11"/>
      <c r="U26"/>
    </row>
    <row r="27" spans="1:27">
      <c r="I27" s="3"/>
    </row>
    <row r="28" spans="1:27">
      <c r="I28" s="3"/>
    </row>
    <row r="29" spans="1:27">
      <c r="I29" s="3"/>
    </row>
    <row r="30" spans="1:27">
      <c r="I30" s="3"/>
    </row>
    <row r="31" spans="1:27">
      <c r="I31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83843F62446140B43087719AA3FA42" ma:contentTypeVersion="3" ma:contentTypeDescription="Create a new document." ma:contentTypeScope="" ma:versionID="a2b02d47afae1ddf391ae6527f3c4a21">
  <xsd:schema xmlns:xsd="http://www.w3.org/2001/XMLSchema" xmlns:xs="http://www.w3.org/2001/XMLSchema" xmlns:p="http://schemas.microsoft.com/office/2006/metadata/properties" xmlns:ns2="f3da9a27-8783-4f30-8e1f-ac4eaf480372" targetNamespace="http://schemas.microsoft.com/office/2006/metadata/properties" ma:root="true" ma:fieldsID="53f09811bc5b7618933efac4b9b5e9ea" ns2:_="">
    <xsd:import namespace="f3da9a27-8783-4f30-8e1f-ac4eaf4803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da9a27-8783-4f30-8e1f-ac4eaf4803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4430775-9DD2-4FA8-8262-A40220075838}"/>
</file>

<file path=customXml/itemProps2.xml><?xml version="1.0" encoding="utf-8"?>
<ds:datastoreItem xmlns:ds="http://schemas.openxmlformats.org/officeDocument/2006/customXml" ds:itemID="{0E0442A5-4DE5-4D82-9A7E-497992D41484}"/>
</file>

<file path=customXml/itemProps3.xml><?xml version="1.0" encoding="utf-8"?>
<ds:datastoreItem xmlns:ds="http://schemas.openxmlformats.org/officeDocument/2006/customXml" ds:itemID="{5BF5D775-9E39-46AE-B5CD-30F16349B7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Taylah Bennett</dc:creator>
  <cp:keywords/>
  <dc:description/>
  <cp:lastModifiedBy>Taylah Bennett</cp:lastModifiedBy>
  <cp:revision/>
  <dcterms:created xsi:type="dcterms:W3CDTF">2025-10-06T04:32:20Z</dcterms:created>
  <dcterms:modified xsi:type="dcterms:W3CDTF">2026-08-12T06:30:37Z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0x010100B683843F62446140B43087719AA3FA42</vt:lpwstr>
  </property>
</Properties>
</file>
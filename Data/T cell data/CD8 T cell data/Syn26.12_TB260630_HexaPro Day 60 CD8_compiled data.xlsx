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.ta/Library/CloudStorage/OneDrive-wehi.edu.au/Groom Lab/3. Projects/1. Synergy (Syn)/Compliled data for modelling/CD8 data/"/>
    </mc:Choice>
  </mc:AlternateContent>
  <xr:revisionPtr revIDLastSave="0" documentId="13_ncr:1_{7207878A-44CA-EB48-A3BD-FC672A098683}" xr6:coauthVersionLast="47" xr6:coauthVersionMax="47" xr10:uidLastSave="{00000000-0000-0000-0000-000000000000}"/>
  <bookViews>
    <workbookView xWindow="0" yWindow="500" windowWidth="51200" windowHeight="26660" xr2:uid="{6B8B4BA7-DC4F-C249-AB8D-61FDA605D1B1}"/>
  </bookViews>
  <sheets>
    <sheet name="Start here" sheetId="2" r:id="rId1"/>
    <sheet name="Data dictionary" sheetId="3" r:id="rId2"/>
    <sheet name="Processed 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" i="4" l="1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" i="4"/>
  <c r="E7" i="4"/>
  <c r="F7" i="4" s="1"/>
  <c r="G7" i="4" s="1"/>
  <c r="J7" i="4" s="1"/>
  <c r="L7" i="4" s="1"/>
  <c r="E6" i="4"/>
  <c r="F6" i="4" s="1"/>
  <c r="G6" i="4" s="1"/>
  <c r="J6" i="4" s="1"/>
  <c r="L6" i="4" s="1"/>
  <c r="F5" i="4"/>
  <c r="G5" i="4" s="1"/>
  <c r="J5" i="4" s="1"/>
  <c r="L5" i="4" s="1"/>
  <c r="E5" i="4"/>
  <c r="E4" i="4"/>
  <c r="F4" i="4" s="1"/>
  <c r="G4" i="4" s="1"/>
  <c r="J4" i="4" s="1"/>
  <c r="L4" i="4" s="1"/>
  <c r="E3" i="4"/>
  <c r="F3" i="4" s="1"/>
  <c r="G3" i="4" s="1"/>
  <c r="J3" i="4" s="1"/>
  <c r="L3" i="4" s="1"/>
  <c r="G2" i="4"/>
  <c r="J2" i="4" s="1"/>
  <c r="L2" i="4" s="1"/>
  <c r="F2" i="4"/>
  <c r="E2" i="4"/>
  <c r="Q4" i="4" l="1"/>
  <c r="N4" i="4"/>
  <c r="N5" i="4"/>
  <c r="Q5" i="4"/>
  <c r="N3" i="4"/>
  <c r="Q3" i="4"/>
  <c r="N6" i="4"/>
  <c r="Q6" i="4"/>
  <c r="N2" i="4"/>
  <c r="Q2" i="4"/>
  <c r="Q7" i="4"/>
  <c r="N7" i="4"/>
  <c r="E11" i="4" l="1"/>
  <c r="F11" i="4" s="1"/>
  <c r="G11" i="4" s="1"/>
  <c r="J11" i="4" s="1"/>
  <c r="L11" i="4" s="1"/>
  <c r="E12" i="4"/>
  <c r="F12" i="4" s="1"/>
  <c r="G12" i="4" s="1"/>
  <c r="J12" i="4" s="1"/>
  <c r="L12" i="4" s="1"/>
  <c r="E13" i="4"/>
  <c r="F13" i="4" s="1"/>
  <c r="G13" i="4" s="1"/>
  <c r="J13" i="4" s="1"/>
  <c r="L13" i="4" s="1"/>
  <c r="E8" i="4"/>
  <c r="F8" i="4" s="1"/>
  <c r="G8" i="4" s="1"/>
  <c r="J8" i="4" s="1"/>
  <c r="L8" i="4" s="1"/>
  <c r="E9" i="4"/>
  <c r="F9" i="4" s="1"/>
  <c r="G9" i="4" s="1"/>
  <c r="J9" i="4" s="1"/>
  <c r="L9" i="4" s="1"/>
  <c r="E10" i="4"/>
  <c r="F10" i="4" s="1"/>
  <c r="G10" i="4" s="1"/>
  <c r="J10" i="4" s="1"/>
  <c r="L10" i="4" s="1"/>
  <c r="E17" i="4"/>
  <c r="F17" i="4" s="1"/>
  <c r="G17" i="4" s="1"/>
  <c r="J17" i="4" s="1"/>
  <c r="L17" i="4" s="1"/>
  <c r="E18" i="4"/>
  <c r="F18" i="4" s="1"/>
  <c r="G18" i="4" s="1"/>
  <c r="J18" i="4" s="1"/>
  <c r="L18" i="4" s="1"/>
  <c r="E19" i="4"/>
  <c r="F19" i="4" s="1"/>
  <c r="G19" i="4" s="1"/>
  <c r="J19" i="4" s="1"/>
  <c r="L19" i="4" s="1"/>
  <c r="E14" i="4"/>
  <c r="F14" i="4" s="1"/>
  <c r="G14" i="4" s="1"/>
  <c r="J14" i="4" s="1"/>
  <c r="L14" i="4" s="1"/>
  <c r="E15" i="4"/>
  <c r="F15" i="4" s="1"/>
  <c r="G15" i="4" s="1"/>
  <c r="J15" i="4" s="1"/>
  <c r="L15" i="4" s="1"/>
  <c r="E16" i="4"/>
  <c r="F16" i="4" s="1"/>
  <c r="G16" i="4" s="1"/>
  <c r="J16" i="4" s="1"/>
  <c r="L16" i="4" s="1"/>
  <c r="E23" i="4"/>
  <c r="F23" i="4" s="1"/>
  <c r="G23" i="4" s="1"/>
  <c r="J23" i="4" s="1"/>
  <c r="L23" i="4" s="1"/>
  <c r="E24" i="4"/>
  <c r="F24" i="4" s="1"/>
  <c r="G24" i="4" s="1"/>
  <c r="J24" i="4" s="1"/>
  <c r="L24" i="4" s="1"/>
  <c r="E25" i="4"/>
  <c r="F25" i="4" s="1"/>
  <c r="G25" i="4" s="1"/>
  <c r="J25" i="4" s="1"/>
  <c r="L25" i="4" s="1"/>
  <c r="E20" i="4"/>
  <c r="F20" i="4" s="1"/>
  <c r="G20" i="4" s="1"/>
  <c r="J20" i="4" s="1"/>
  <c r="L20" i="4" s="1"/>
  <c r="E21" i="4"/>
  <c r="F21" i="4" s="1"/>
  <c r="G21" i="4" s="1"/>
  <c r="J21" i="4" s="1"/>
  <c r="L21" i="4" s="1"/>
  <c r="E22" i="4"/>
  <c r="F22" i="4" s="1"/>
  <c r="G22" i="4" s="1"/>
  <c r="J22" i="4" s="1"/>
  <c r="L22" i="4" s="1"/>
  <c r="Q16" i="4" l="1"/>
  <c r="N16" i="4"/>
  <c r="Q12" i="4"/>
  <c r="N12" i="4"/>
  <c r="Q15" i="4"/>
  <c r="N15" i="4"/>
  <c r="Q11" i="4"/>
  <c r="N11" i="4"/>
  <c r="N9" i="4"/>
  <c r="Q9" i="4"/>
  <c r="Q14" i="4"/>
  <c r="N14" i="4"/>
  <c r="Q19" i="4"/>
  <c r="N19" i="4"/>
  <c r="Q22" i="4"/>
  <c r="N22" i="4"/>
  <c r="Q17" i="4"/>
  <c r="N17" i="4"/>
  <c r="N10" i="4"/>
  <c r="Q10" i="4"/>
  <c r="N25" i="4"/>
  <c r="Q25" i="4"/>
  <c r="N24" i="4"/>
  <c r="Q24" i="4"/>
  <c r="N8" i="4"/>
  <c r="Q8" i="4"/>
  <c r="Q18" i="4"/>
  <c r="N18" i="4"/>
  <c r="Q21" i="4"/>
  <c r="N21" i="4"/>
  <c r="N20" i="4"/>
  <c r="Q20" i="4"/>
  <c r="N23" i="4"/>
  <c r="Q23" i="4"/>
  <c r="N13" i="4"/>
  <c r="Q13" i="4"/>
</calcChain>
</file>

<file path=xl/sharedStrings.xml><?xml version="1.0" encoding="utf-8"?>
<sst xmlns="http://schemas.openxmlformats.org/spreadsheetml/2006/main" count="435" uniqueCount="270">
  <si>
    <t>Exp label</t>
  </si>
  <si>
    <t>Vaccine</t>
  </si>
  <si>
    <t>Number of cell events</t>
  </si>
  <si>
    <t>HexaPro TM</t>
  </si>
  <si>
    <t>HexaPro TMd21</t>
  </si>
  <si>
    <t>HexaPro SOL</t>
  </si>
  <si>
    <t>Beads were diluted 1:50 = 1000 beads/50 µL, or 20 beads/µL</t>
  </si>
  <si>
    <t xml:space="preserve">After staining with antibodies, the sample was re-suspended in 150 µL of diluted beads </t>
  </si>
  <si>
    <t>27.7 %</t>
  </si>
  <si>
    <t>25.3 %</t>
  </si>
  <si>
    <t>29.6 %</t>
  </si>
  <si>
    <t>30.4 %</t>
  </si>
  <si>
    <t>24.6 %</t>
  </si>
  <si>
    <t>0.11 %</t>
  </si>
  <si>
    <t>32.9 %</t>
  </si>
  <si>
    <t>5.37 %</t>
  </si>
  <si>
    <t>26.0 %</t>
  </si>
  <si>
    <t>28.6 %</t>
  </si>
  <si>
    <t>14.4 %</t>
  </si>
  <si>
    <t>19.7 %</t>
  </si>
  <si>
    <t>20.7 %</t>
  </si>
  <si>
    <t>23.3 %</t>
  </si>
  <si>
    <t>12.5 %</t>
  </si>
  <si>
    <t>11.6 %</t>
  </si>
  <si>
    <t>19.8 %</t>
  </si>
  <si>
    <t>10.8 %</t>
  </si>
  <si>
    <t>18.2 %</t>
  </si>
  <si>
    <t>22.6 %</t>
  </si>
  <si>
    <t>14.3 %</t>
  </si>
  <si>
    <t>18.3 %</t>
  </si>
  <si>
    <t>10.3 %</t>
  </si>
  <si>
    <t>Experiment date:</t>
  </si>
  <si>
    <t>Time point (day):</t>
  </si>
  <si>
    <t>Replicate number:</t>
  </si>
  <si>
    <t>Analysis (CD4 or CD8):</t>
  </si>
  <si>
    <t>CD8</t>
  </si>
  <si>
    <t>Mouse #</t>
  </si>
  <si>
    <t>HexaPro IC</t>
  </si>
  <si>
    <t>Counting beads: CountBright Absolute Count</t>
  </si>
  <si>
    <t>REF: C36950</t>
  </si>
  <si>
    <t>Lot: 2466366</t>
  </si>
  <si>
    <t>0.5 x 10^5 beads/50 µL</t>
  </si>
  <si>
    <t>Cells/µL = Number of cells/number of beads x (150 µL/5 µL * 20 beads/µL)</t>
  </si>
  <si>
    <t xml:space="preserve">Pre-enrichment, 5 µL of cell pellet resuspension (total 100 µL) was taken for cell counts </t>
  </si>
  <si>
    <t xml:space="preserve"> </t>
  </si>
  <si>
    <t>Core populations</t>
  </si>
  <si>
    <t>Category</t>
  </si>
  <si>
    <t>Term / Column Component</t>
  </si>
  <si>
    <t>Definition</t>
  </si>
  <si>
    <t>Core population</t>
  </si>
  <si>
    <t>Tetramer+ CD8 T cells</t>
  </si>
  <si>
    <t>Antigen-specific CD8 T cells identified using peptide–MHC tetramers</t>
  </si>
  <si>
    <t>Population type</t>
  </si>
  <si>
    <t>Memory</t>
  </si>
  <si>
    <t>CD127+ KLRG1− cells; memory-forming potential</t>
  </si>
  <si>
    <t>Effector</t>
  </si>
  <si>
    <t>CD127− KLRG1+ cells; terminal effector phenotype</t>
  </si>
  <si>
    <t>TCM: Central memory</t>
  </si>
  <si>
    <t xml:space="preserve">Lymphoid-homing memory cells </t>
  </si>
  <si>
    <t>TEM: Effector memory</t>
  </si>
  <si>
    <t xml:space="preserve">Memory T cells that circulate in the peripheral tissues and blood, providing immediate, rapid effector function </t>
  </si>
  <si>
    <t>Tscm: Stem cell memory</t>
  </si>
  <si>
    <t>Self-renewing memory population; give rise to Tcm and Tem; long-lived reservoir</t>
  </si>
  <si>
    <t>Tfh-like</t>
  </si>
  <si>
    <t xml:space="preserve">CXCR5+ PD-1+; follicular helper-like phenotype </t>
  </si>
  <si>
    <t>Interpreting column labels</t>
  </si>
  <si>
    <t>Term</t>
  </si>
  <si>
    <t>% (percentage)</t>
  </si>
  <si>
    <t>Proportion of the specified parent population</t>
  </si>
  <si>
    <t>Number</t>
  </si>
  <si>
    <t>Absolute cell count in the subset</t>
  </si>
  <si>
    <t xml:space="preserve">Number of bead events </t>
  </si>
  <si>
    <t>Cell/bead ratio</t>
  </si>
  <si>
    <t>Cells/µL</t>
  </si>
  <si>
    <t>Cells in total sample vol</t>
  </si>
  <si>
    <t>Total sample vol (µL)</t>
  </si>
  <si>
    <t>CD8 T cells (% of live lymphocytes)</t>
  </si>
  <si>
    <t>Number of CD8 T cells</t>
  </si>
  <si>
    <t>Tetramer+ (% of CD8)</t>
  </si>
  <si>
    <t>Number of tetramer+ cells</t>
  </si>
  <si>
    <t>CD127+ KLRG1- memory (% tetramer)</t>
  </si>
  <si>
    <t>Number of CD127+ KLRG1- memory</t>
  </si>
  <si>
    <t>CD62L+ CX3CR1- TCM (% memory)</t>
  </si>
  <si>
    <t>CD127+ CD62L+ CX3CR1- KLRG1- TCM (% tetramer)</t>
  </si>
  <si>
    <t>Number CD127+ CD62L+ CX3CR1-KLRG1- TCM</t>
  </si>
  <si>
    <t>PD-1+ CXCR5+ TFH like (% memory)</t>
  </si>
  <si>
    <t>CD127+ PD-1+ CXCR5+ KLRG1- TFH like (% tetramer)</t>
  </si>
  <si>
    <t>Number of CXCR5+ PD-1+ CD127+ KLRG1- TFH like</t>
  </si>
  <si>
    <t>KLRG1+ CD127- effector (% tetramer)</t>
  </si>
  <si>
    <t>Number of KLRG1+ CD127- effector</t>
  </si>
  <si>
    <t>CD62L- CX3CR1hi TEM (% memory)</t>
  </si>
  <si>
    <t>CD62L- CX3CR1hi TEM (% tetramer)</t>
  </si>
  <si>
    <t>Number CD62L- CX3CR1hi TEM</t>
  </si>
  <si>
    <t>CD127+ KLRG1- CD62L+ TCF1+ SLAMF6+ Tscm (%TCM)</t>
  </si>
  <si>
    <t>CD127+ KLRG1- CD62L+ TCF1+ SLAMF6+ Tscm (% tetramer)</t>
  </si>
  <si>
    <t xml:space="preserve">Number of CD127+ KLRG1- TCF1+ SLAMF6+ Tscm </t>
  </si>
  <si>
    <t>96.9 %</t>
  </si>
  <si>
    <t>96.3 %</t>
  </si>
  <si>
    <t>94.3 %</t>
  </si>
  <si>
    <t>96.0 %</t>
  </si>
  <si>
    <t>100 %</t>
  </si>
  <si>
    <t>98.1 %</t>
  </si>
  <si>
    <t>14.1 %</t>
  </si>
  <si>
    <t>21.6 %</t>
  </si>
  <si>
    <t xml:space="preserve">Sex </t>
  </si>
  <si>
    <t>F</t>
  </si>
  <si>
    <t>Experiment code:</t>
  </si>
  <si>
    <t>Syn.26.12</t>
  </si>
  <si>
    <t>M</t>
  </si>
  <si>
    <t>27.0 %</t>
  </si>
  <si>
    <t>28.5 %</t>
  </si>
  <si>
    <t>28.2 %</t>
  </si>
  <si>
    <t>28.0 %</t>
  </si>
  <si>
    <t>27.4 %</t>
  </si>
  <si>
    <t>25.1 %</t>
  </si>
  <si>
    <t>25.6 %</t>
  </si>
  <si>
    <t>29.3 %</t>
  </si>
  <si>
    <t>29.2 %</t>
  </si>
  <si>
    <t>28.1 %</t>
  </si>
  <si>
    <t>22.7 %</t>
  </si>
  <si>
    <t>23.9 %</t>
  </si>
  <si>
    <t>25.2 %</t>
  </si>
  <si>
    <t>25.0 %</t>
  </si>
  <si>
    <t>27.8 %</t>
  </si>
  <si>
    <t>0.067 %</t>
  </si>
  <si>
    <t>0.075 %</t>
  </si>
  <si>
    <t>0.076 %</t>
  </si>
  <si>
    <t>0.091 %</t>
  </si>
  <si>
    <t>0.13 %</t>
  </si>
  <si>
    <t>0.15 %</t>
  </si>
  <si>
    <t>0.045 %</t>
  </si>
  <si>
    <t>0.056 %</t>
  </si>
  <si>
    <t>0.041 %</t>
  </si>
  <si>
    <t>5.03e-3 %</t>
  </si>
  <si>
    <t>0.043 %</t>
  </si>
  <si>
    <t>7.85e-3 %</t>
  </si>
  <si>
    <t>0.040 %</t>
  </si>
  <si>
    <t>0.024 %</t>
  </si>
  <si>
    <t>0.059 %</t>
  </si>
  <si>
    <t>0.071 %</t>
  </si>
  <si>
    <t>0.049 %</t>
  </si>
  <si>
    <t>0.035 %</t>
  </si>
  <si>
    <t>0.052 %</t>
  </si>
  <si>
    <t>0.042 %</t>
  </si>
  <si>
    <t>0.14 %</t>
  </si>
  <si>
    <t>94.4 %</t>
  </si>
  <si>
    <t>92.5 %</t>
  </si>
  <si>
    <t>94.6 %</t>
  </si>
  <si>
    <t>99.2 %</t>
  </si>
  <si>
    <t>95.4 %</t>
  </si>
  <si>
    <t>85.7 %</t>
  </si>
  <si>
    <t>98.7 %</t>
  </si>
  <si>
    <t>89.5 %</t>
  </si>
  <si>
    <t>94.7 %</t>
  </si>
  <si>
    <t>97.0 %</t>
  </si>
  <si>
    <t>98.0 %</t>
  </si>
  <si>
    <t>98.5 %</t>
  </si>
  <si>
    <t>97.1 %</t>
  </si>
  <si>
    <t>98.9 %</t>
  </si>
  <si>
    <t>99.1 %</t>
  </si>
  <si>
    <t>28.4 %</t>
  </si>
  <si>
    <t>30.3 %</t>
  </si>
  <si>
    <t>17.1 %</t>
  </si>
  <si>
    <t>16.5 %</t>
  </si>
  <si>
    <t>21.3 %</t>
  </si>
  <si>
    <t>55.0 %</t>
  </si>
  <si>
    <t>42.2 %</t>
  </si>
  <si>
    <t>31.7 %</t>
  </si>
  <si>
    <t>66.7 %</t>
  </si>
  <si>
    <t>40.3 %</t>
  </si>
  <si>
    <t>58.8 %</t>
  </si>
  <si>
    <t>42.4 %</t>
  </si>
  <si>
    <t>23.6 %</t>
  </si>
  <si>
    <t>36.6 %</t>
  </si>
  <si>
    <t>26.8 %</t>
  </si>
  <si>
    <t>19.5 %</t>
  </si>
  <si>
    <t>13.1 %</t>
  </si>
  <si>
    <t>26.9 %</t>
  </si>
  <si>
    <t>21.5 %</t>
  </si>
  <si>
    <t>16.2 %</t>
  </si>
  <si>
    <t>21.2 %</t>
  </si>
  <si>
    <t>51.9 %</t>
  </si>
  <si>
    <t>40.2 %</t>
  </si>
  <si>
    <t>57.1 %</t>
  </si>
  <si>
    <t>39.7 %</t>
  </si>
  <si>
    <t>52.6 %</t>
  </si>
  <si>
    <t>41.1 %</t>
  </si>
  <si>
    <t>22.3 %</t>
  </si>
  <si>
    <t>26.4 %</t>
  </si>
  <si>
    <t>34.7 %</t>
  </si>
  <si>
    <t>19.2 %</t>
  </si>
  <si>
    <t>12.7 %</t>
  </si>
  <si>
    <t>12.4 %</t>
  </si>
  <si>
    <t>19.6 %</t>
  </si>
  <si>
    <t>48.7 %</t>
  </si>
  <si>
    <t>42.9 %</t>
  </si>
  <si>
    <t>36.8 %</t>
  </si>
  <si>
    <t>39.4 %</t>
  </si>
  <si>
    <t>25.7 %</t>
  </si>
  <si>
    <t>12.1 %</t>
  </si>
  <si>
    <t>20.6 %</t>
  </si>
  <si>
    <t>19.0 %</t>
  </si>
  <si>
    <t>8.43 %</t>
  </si>
  <si>
    <t>0 %</t>
  </si>
  <si>
    <t>5.88 %</t>
  </si>
  <si>
    <t>15.1 %</t>
  </si>
  <si>
    <t>14.0 %</t>
  </si>
  <si>
    <t>9.54 %</t>
  </si>
  <si>
    <t>12.3 %</t>
  </si>
  <si>
    <t>12.6 %</t>
  </si>
  <si>
    <t>23.2 %</t>
  </si>
  <si>
    <t>20.4 %</t>
  </si>
  <si>
    <t>27.1 %</t>
  </si>
  <si>
    <t>22.4 %</t>
  </si>
  <si>
    <t>5.06 %</t>
  </si>
  <si>
    <t>8.05 %</t>
  </si>
  <si>
    <t>17.9 %</t>
  </si>
  <si>
    <t>5.26 %</t>
  </si>
  <si>
    <t>9.25 %</t>
  </si>
  <si>
    <t>13.3 %</t>
  </si>
  <si>
    <t>22.5 %</t>
  </si>
  <si>
    <t>20.2 %</t>
  </si>
  <si>
    <t>90.6 %</t>
  </si>
  <si>
    <t>88.2 %</t>
  </si>
  <si>
    <t>93.9 %</t>
  </si>
  <si>
    <t>97.4 %</t>
  </si>
  <si>
    <t>75.0 %</t>
  </si>
  <si>
    <t>70.0 %</t>
  </si>
  <si>
    <t>90.9 %</t>
  </si>
  <si>
    <t>95.8 %</t>
  </si>
  <si>
    <t>98.6 %</t>
  </si>
  <si>
    <t>95.5 %</t>
  </si>
  <si>
    <t>97.7 %</t>
  </si>
  <si>
    <t>93.4 %</t>
  </si>
  <si>
    <t>0.29 %</t>
  </si>
  <si>
    <t>0.71 %</t>
  </si>
  <si>
    <t>0.67 %</t>
  </si>
  <si>
    <t>0.95 %</t>
  </si>
  <si>
    <t>0.92 %</t>
  </si>
  <si>
    <t>2.43 %</t>
  </si>
  <si>
    <t>2.38 %</t>
  </si>
  <si>
    <t>2.09 %</t>
  </si>
  <si>
    <t>2.07 %</t>
  </si>
  <si>
    <t>0.63 %</t>
  </si>
  <si>
    <t>1.20 %</t>
  </si>
  <si>
    <t>1.15 %</t>
  </si>
  <si>
    <t>7.79 %</t>
  </si>
  <si>
    <t>7.69 %</t>
  </si>
  <si>
    <t>8.22 %</t>
  </si>
  <si>
    <t>4.65 %</t>
  </si>
  <si>
    <t>1.77 %</t>
  </si>
  <si>
    <t>1.71 %</t>
  </si>
  <si>
    <t>3.77 %</t>
  </si>
  <si>
    <t>3.57 %</t>
  </si>
  <si>
    <t>3.61 %</t>
  </si>
  <si>
    <t>3.45 %</t>
  </si>
  <si>
    <t>2.82 %</t>
  </si>
  <si>
    <t>2.67 %</t>
  </si>
  <si>
    <t>2.68 %</t>
  </si>
  <si>
    <t>2.60 %</t>
  </si>
  <si>
    <t>2.06 %</t>
  </si>
  <si>
    <t>2.02 %</t>
  </si>
  <si>
    <t>2.34 %</t>
  </si>
  <si>
    <t>2.31 %</t>
  </si>
  <si>
    <t>5.95 %</t>
  </si>
  <si>
    <t>5.78 %</t>
  </si>
  <si>
    <t>5.23 %</t>
  </si>
  <si>
    <t>5.17 %</t>
  </si>
  <si>
    <t>4.12 %</t>
  </si>
  <si>
    <t>4.09 %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</si>
</sst>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i/>
      <sz val="12"/>
      <color theme="1"/>
      <name val="Helvetica"/>
      <family val="2"/>
    </font>
    <font>
      <sz val="12"/>
      <color theme="3" tint="0.499984740745262"/>
      <name val="Helvetica"/>
      <family val="2"/>
    </font>
    <font>
      <sz val="12"/>
      <color theme="5" tint="0.39997558519241921"/>
      <name val="Helvetica"/>
      <family val="2"/>
    </font>
    <font>
      <sz val="12"/>
      <color theme="6" tint="0.39997558519241921"/>
      <name val="Helvetica"/>
      <family val="2"/>
    </font>
    <font>
      <sz val="12"/>
      <color theme="8" tint="0.39997558519241921"/>
      <name val="Helvetica"/>
      <family val="2"/>
    </font>
    <font>
      <sz val="14"/>
      <color theme="1"/>
      <name val="Helvetica"/>
      <family val="2"/>
    </font>
    <font>
      <sz val="12"/>
      <color theme="3" tint="0.39997558519241921"/>
      <name val="Helvetica"/>
      <family val="2"/>
    </font>
    <font>
      <sz val="14"/>
      <color theme="1"/>
      <name val="Aptos Narrow"/>
      <family val="2"/>
      <scheme val="minor"/>
    </font>
    <font>
      <b/>
      <sz val="14"/>
      <color theme="1"/>
      <name val="Helvetica"/>
      <family val="2"/>
    </font>
    <font>
      <sz val="14"/>
      <color theme="3" tint="0.499984740745262"/>
      <name val="Aptos Narrow"/>
      <family val="2"/>
      <scheme val="minor"/>
    </font>
    <font>
      <sz val="14"/>
      <color theme="3" tint="0.499984740745262"/>
      <name val="Helvetica"/>
      <family val="2"/>
    </font>
    <font>
      <sz val="14"/>
      <color theme="5" tint="0.39997558519241921"/>
      <name val="Aptos Narrow"/>
      <family val="2"/>
      <scheme val="minor"/>
    </font>
    <font>
      <sz val="14"/>
      <color theme="5" tint="0.39997558519241921"/>
      <name val="Helvetica"/>
      <family val="2"/>
    </font>
    <font>
      <sz val="14"/>
      <color theme="6" tint="0.39997558519241921"/>
      <name val="Aptos Narrow"/>
      <family val="2"/>
      <scheme val="minor"/>
    </font>
    <font>
      <sz val="14"/>
      <color theme="6" tint="0.39997558519241921"/>
      <name val="Helvetica"/>
      <family val="2"/>
    </font>
    <font>
      <sz val="14"/>
      <color theme="8" tint="0.39997558519241921"/>
      <name val="Aptos Narrow"/>
      <family val="2"/>
      <scheme val="minor"/>
    </font>
    <font>
      <sz val="14"/>
      <color theme="8" tint="0.39997558519241921"/>
      <name val="Helvetica"/>
      <family val="2"/>
    </font>
    <font>
      <sz val="16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rgb="FF000000"/>
      <name val="Helvetica"/>
      <family val="2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" xfId="0" applyFont="1" applyBorder="1"/>
    <xf numFmtId="0" fontId="7" fillId="0" borderId="0" xfId="0" applyFont="1"/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9" fillId="0" borderId="0" xfId="0" applyFont="1"/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9" fillId="0" borderId="0" xfId="0" applyFont="1"/>
    <xf numFmtId="0" fontId="1" fillId="0" borderId="0" xfId="0" applyFont="1"/>
    <xf numFmtId="0" fontId="20" fillId="0" borderId="0" xfId="0" applyFont="1"/>
    <xf numFmtId="0" fontId="12" fillId="0" borderId="18" xfId="0" applyFont="1" applyBorder="1" applyAlignment="1">
      <alignment horizontal="center" wrapText="1"/>
    </xf>
    <xf numFmtId="0" fontId="14" fillId="0" borderId="18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2" fillId="0" borderId="19" xfId="0" applyFont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2" fillId="0" borderId="20" xfId="0" applyFont="1" applyBorder="1" applyAlignment="1">
      <alignment horizontal="center" wrapText="1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4" fontId="7" fillId="0" borderId="12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ED0F-1CD2-FC48-91D6-9591FA085356}">
  <dimension ref="B1:I42"/>
  <sheetViews>
    <sheetView tabSelected="1" workbookViewId="0">
      <selection activeCell="D23" sqref="D23"/>
    </sheetView>
  </sheetViews>
  <sheetFormatPr baseColWidth="10" defaultRowHeight="19"/>
  <cols>
    <col min="1" max="1" width="10.83203125" style="10"/>
    <col min="2" max="2" width="26.1640625" style="10" customWidth="1"/>
    <col min="3" max="3" width="17.5" style="10" customWidth="1"/>
    <col min="4" max="4" width="22.6640625" style="10" customWidth="1"/>
    <col min="5" max="6" width="10.83203125" style="10"/>
    <col min="7" max="7" width="18.6640625" style="10" customWidth="1"/>
    <col min="8" max="16384" width="10.83203125" style="10"/>
  </cols>
  <sheetData>
    <row r="1" spans="2:5" ht="20" thickBot="1"/>
    <row r="2" spans="2:5">
      <c r="B2" s="11" t="s">
        <v>106</v>
      </c>
      <c r="C2" s="59" t="s">
        <v>107</v>
      </c>
    </row>
    <row r="3" spans="2:5">
      <c r="B3" s="12" t="s">
        <v>31</v>
      </c>
      <c r="C3" s="58">
        <v>46203</v>
      </c>
    </row>
    <row r="4" spans="2:5">
      <c r="B4" s="12" t="s">
        <v>32</v>
      </c>
      <c r="C4" s="13">
        <v>60</v>
      </c>
    </row>
    <row r="5" spans="2:5">
      <c r="B5" s="12" t="s">
        <v>33</v>
      </c>
      <c r="C5" s="13">
        <v>3</v>
      </c>
    </row>
    <row r="6" spans="2:5" ht="20" thickBot="1">
      <c r="B6" s="14" t="s">
        <v>34</v>
      </c>
      <c r="C6" s="15" t="s">
        <v>35</v>
      </c>
    </row>
    <row r="7" spans="2:5" ht="20" thickBot="1"/>
    <row r="8" spans="2:5" ht="20" customHeight="1" thickBot="1">
      <c r="B8" s="16" t="s">
        <v>0</v>
      </c>
      <c r="C8" s="16" t="s">
        <v>36</v>
      </c>
      <c r="D8" s="17" t="s">
        <v>1</v>
      </c>
      <c r="E8" s="25" t="s">
        <v>104</v>
      </c>
    </row>
    <row r="9" spans="2:5" ht="20" customHeight="1">
      <c r="B9" s="26">
        <v>10974</v>
      </c>
      <c r="C9" s="26">
        <v>10974</v>
      </c>
      <c r="D9" s="27" t="s">
        <v>3</v>
      </c>
      <c r="E9" s="37" t="s">
        <v>108</v>
      </c>
    </row>
    <row r="10" spans="2:5" ht="20" customHeight="1">
      <c r="B10" s="28">
        <v>10975</v>
      </c>
      <c r="C10" s="28">
        <v>10975</v>
      </c>
      <c r="D10" s="21" t="s">
        <v>3</v>
      </c>
      <c r="E10" s="38" t="s">
        <v>108</v>
      </c>
    </row>
    <row r="11" spans="2:5" ht="20" customHeight="1">
      <c r="B11" s="28">
        <v>10976</v>
      </c>
      <c r="C11" s="28">
        <v>10976</v>
      </c>
      <c r="D11" s="21" t="s">
        <v>3</v>
      </c>
      <c r="E11" s="38" t="s">
        <v>108</v>
      </c>
    </row>
    <row r="12" spans="2:5" ht="20" customHeight="1">
      <c r="B12" s="28">
        <v>10983</v>
      </c>
      <c r="C12" s="28">
        <v>10983</v>
      </c>
      <c r="D12" s="21" t="s">
        <v>3</v>
      </c>
      <c r="E12" s="38" t="s">
        <v>105</v>
      </c>
    </row>
    <row r="13" spans="2:5" ht="20" customHeight="1">
      <c r="B13" s="28">
        <v>10984</v>
      </c>
      <c r="C13" s="28">
        <v>10984</v>
      </c>
      <c r="D13" s="21" t="s">
        <v>3</v>
      </c>
      <c r="E13" s="38" t="s">
        <v>105</v>
      </c>
    </row>
    <row r="14" spans="2:5" ht="20" customHeight="1" thickBot="1">
      <c r="B14" s="29">
        <v>10985</v>
      </c>
      <c r="C14" s="29">
        <v>10985</v>
      </c>
      <c r="D14" s="30" t="s">
        <v>3</v>
      </c>
      <c r="E14" s="39" t="s">
        <v>105</v>
      </c>
    </row>
    <row r="15" spans="2:5" ht="20" customHeight="1">
      <c r="B15" s="43">
        <v>10977</v>
      </c>
      <c r="C15" s="43">
        <v>10977</v>
      </c>
      <c r="D15" s="31" t="s">
        <v>4</v>
      </c>
      <c r="E15" s="40" t="s">
        <v>108</v>
      </c>
    </row>
    <row r="16" spans="2:5" ht="20" customHeight="1">
      <c r="B16" s="44">
        <v>10978</v>
      </c>
      <c r="C16" s="44">
        <v>10978</v>
      </c>
      <c r="D16" s="22" t="s">
        <v>4</v>
      </c>
      <c r="E16" s="41" t="s">
        <v>108</v>
      </c>
    </row>
    <row r="17" spans="2:5" ht="20" customHeight="1">
      <c r="B17" s="44">
        <v>10979</v>
      </c>
      <c r="C17" s="44">
        <v>10979</v>
      </c>
      <c r="D17" s="22" t="s">
        <v>4</v>
      </c>
      <c r="E17" s="41" t="s">
        <v>108</v>
      </c>
    </row>
    <row r="18" spans="2:5" ht="20" customHeight="1">
      <c r="B18" s="44">
        <v>10986</v>
      </c>
      <c r="C18" s="44">
        <v>10986</v>
      </c>
      <c r="D18" s="22" t="s">
        <v>4</v>
      </c>
      <c r="E18" s="41" t="s">
        <v>105</v>
      </c>
    </row>
    <row r="19" spans="2:5" ht="20" customHeight="1">
      <c r="B19" s="44">
        <v>10987</v>
      </c>
      <c r="C19" s="44">
        <v>10987</v>
      </c>
      <c r="D19" s="22" t="s">
        <v>4</v>
      </c>
      <c r="E19" s="41" t="s">
        <v>105</v>
      </c>
    </row>
    <row r="20" spans="2:5" ht="20" customHeight="1" thickBot="1">
      <c r="B20" s="45">
        <v>10988</v>
      </c>
      <c r="C20" s="45">
        <v>10988</v>
      </c>
      <c r="D20" s="32" t="s">
        <v>4</v>
      </c>
      <c r="E20" s="42" t="s">
        <v>105</v>
      </c>
    </row>
    <row r="21" spans="2:5" ht="20" customHeight="1">
      <c r="B21" s="49">
        <v>10980</v>
      </c>
      <c r="C21" s="49">
        <v>10980</v>
      </c>
      <c r="D21" s="33" t="s">
        <v>5</v>
      </c>
      <c r="E21" s="46" t="s">
        <v>108</v>
      </c>
    </row>
    <row r="22" spans="2:5" ht="20" customHeight="1">
      <c r="B22" s="50">
        <v>10981</v>
      </c>
      <c r="C22" s="50">
        <v>10981</v>
      </c>
      <c r="D22" s="23" t="s">
        <v>5</v>
      </c>
      <c r="E22" s="47" t="s">
        <v>108</v>
      </c>
    </row>
    <row r="23" spans="2:5" ht="20" customHeight="1">
      <c r="B23" s="50">
        <v>10982</v>
      </c>
      <c r="C23" s="50">
        <v>10982</v>
      </c>
      <c r="D23" s="23" t="s">
        <v>5</v>
      </c>
      <c r="E23" s="47" t="s">
        <v>108</v>
      </c>
    </row>
    <row r="24" spans="2:5" ht="20" customHeight="1">
      <c r="B24" s="50">
        <v>10992</v>
      </c>
      <c r="C24" s="50">
        <v>10992</v>
      </c>
      <c r="D24" s="23" t="s">
        <v>5</v>
      </c>
      <c r="E24" s="47" t="s">
        <v>105</v>
      </c>
    </row>
    <row r="25" spans="2:5" ht="20" customHeight="1">
      <c r="B25" s="50">
        <v>10993</v>
      </c>
      <c r="C25" s="50">
        <v>10993</v>
      </c>
      <c r="D25" s="23" t="s">
        <v>5</v>
      </c>
      <c r="E25" s="47" t="s">
        <v>105</v>
      </c>
    </row>
    <row r="26" spans="2:5" ht="20" customHeight="1" thickBot="1">
      <c r="B26" s="51">
        <v>10994</v>
      </c>
      <c r="C26" s="51">
        <v>10994</v>
      </c>
      <c r="D26" s="34" t="s">
        <v>5</v>
      </c>
      <c r="E26" s="48" t="s">
        <v>105</v>
      </c>
    </row>
    <row r="27" spans="2:5" ht="20" customHeight="1">
      <c r="B27" s="52">
        <v>10989</v>
      </c>
      <c r="C27" s="52">
        <v>10989</v>
      </c>
      <c r="D27" s="35" t="s">
        <v>37</v>
      </c>
      <c r="E27" s="53" t="s">
        <v>108</v>
      </c>
    </row>
    <row r="28" spans="2:5" ht="20" customHeight="1">
      <c r="B28" s="54">
        <v>10990</v>
      </c>
      <c r="C28" s="54">
        <v>10990</v>
      </c>
      <c r="D28" s="24" t="s">
        <v>37</v>
      </c>
      <c r="E28" s="55" t="s">
        <v>108</v>
      </c>
    </row>
    <row r="29" spans="2:5" ht="20" customHeight="1">
      <c r="B29" s="54">
        <v>10991</v>
      </c>
      <c r="C29" s="54">
        <v>10991</v>
      </c>
      <c r="D29" s="24" t="s">
        <v>37</v>
      </c>
      <c r="E29" s="55" t="s">
        <v>108</v>
      </c>
    </row>
    <row r="30" spans="2:5" ht="20" customHeight="1">
      <c r="B30" s="54">
        <v>10995</v>
      </c>
      <c r="C30" s="54">
        <v>10995</v>
      </c>
      <c r="D30" s="24" t="s">
        <v>37</v>
      </c>
      <c r="E30" s="55" t="s">
        <v>105</v>
      </c>
    </row>
    <row r="31" spans="2:5" ht="20" customHeight="1">
      <c r="B31" s="54">
        <v>10996</v>
      </c>
      <c r="C31" s="54">
        <v>10996</v>
      </c>
      <c r="D31" s="24" t="s">
        <v>37</v>
      </c>
      <c r="E31" s="55" t="s">
        <v>105</v>
      </c>
    </row>
    <row r="32" spans="2:5" ht="20" customHeight="1" thickBot="1">
      <c r="B32" s="56">
        <v>10997</v>
      </c>
      <c r="C32" s="56">
        <v>10997</v>
      </c>
      <c r="D32" s="36" t="s">
        <v>37</v>
      </c>
      <c r="E32" s="57" t="s">
        <v>105</v>
      </c>
    </row>
    <row r="33" spans="2:9" ht="20" thickBot="1"/>
    <row r="34" spans="2:9">
      <c r="B34" s="1" t="s">
        <v>38</v>
      </c>
      <c r="C34" s="2"/>
      <c r="D34" s="3"/>
    </row>
    <row r="35" spans="2:9">
      <c r="B35" s="4" t="s">
        <v>39</v>
      </c>
      <c r="C35" s="5"/>
      <c r="D35" s="6"/>
    </row>
    <row r="36" spans="2:9">
      <c r="B36" s="4" t="s">
        <v>40</v>
      </c>
      <c r="C36" s="5"/>
      <c r="D36" s="6"/>
    </row>
    <row r="37" spans="2:9" ht="20" thickBot="1">
      <c r="B37" s="7" t="s">
        <v>41</v>
      </c>
      <c r="C37" s="8"/>
      <c r="D37" s="9"/>
      <c r="I37" s="10" t="s">
        <v>44</v>
      </c>
    </row>
    <row r="38" spans="2:9" ht="20" thickBot="1"/>
    <row r="39" spans="2:9">
      <c r="B39" s="1" t="s">
        <v>6</v>
      </c>
      <c r="C39" s="2"/>
      <c r="D39" s="2"/>
      <c r="E39" s="2"/>
      <c r="F39" s="2"/>
      <c r="G39" s="3"/>
    </row>
    <row r="40" spans="2:9">
      <c r="B40" s="4" t="s">
        <v>43</v>
      </c>
      <c r="C40" s="5"/>
      <c r="D40" s="5"/>
      <c r="E40" s="5"/>
      <c r="F40" s="5"/>
      <c r="G40" s="6"/>
    </row>
    <row r="41" spans="2:9">
      <c r="B41" s="4" t="s">
        <v>7</v>
      </c>
      <c r="C41" s="5"/>
      <c r="D41" s="5"/>
      <c r="E41" s="5"/>
      <c r="F41" s="5"/>
      <c r="G41" s="6"/>
    </row>
    <row r="42" spans="2:9" ht="20" thickBot="1">
      <c r="B42" s="7" t="s">
        <v>42</v>
      </c>
      <c r="C42" s="8"/>
      <c r="D42" s="8"/>
      <c r="E42" s="8"/>
      <c r="F42" s="8"/>
      <c r="G4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6052-5564-1642-BA15-1F47789637A9}">
  <dimension ref="B1:D14"/>
  <sheetViews>
    <sheetView workbookViewId="0">
      <selection activeCell="C58" sqref="C58"/>
    </sheetView>
  </sheetViews>
  <sheetFormatPr baseColWidth="10" defaultRowHeight="16"/>
  <cols>
    <col min="1" max="1" width="10.83203125" style="19"/>
    <col min="2" max="2" width="29" style="19" customWidth="1"/>
    <col min="3" max="3" width="34.33203125" style="19" customWidth="1"/>
    <col min="4" max="4" width="99.6640625" style="19" customWidth="1"/>
    <col min="5" max="16384" width="10.83203125" style="19"/>
  </cols>
  <sheetData>
    <row r="1" spans="2:4" ht="21">
      <c r="B1" s="18" t="s">
        <v>45</v>
      </c>
    </row>
    <row r="2" spans="2:4">
      <c r="B2" s="20" t="s">
        <v>46</v>
      </c>
      <c r="C2" s="20" t="s">
        <v>47</v>
      </c>
      <c r="D2" s="20" t="s">
        <v>48</v>
      </c>
    </row>
    <row r="3" spans="2:4">
      <c r="B3" s="19" t="s">
        <v>49</v>
      </c>
      <c r="C3" s="19" t="s">
        <v>50</v>
      </c>
      <c r="D3" s="19" t="s">
        <v>51</v>
      </c>
    </row>
    <row r="4" spans="2:4">
      <c r="B4" s="19" t="s">
        <v>52</v>
      </c>
      <c r="C4" s="19" t="s">
        <v>53</v>
      </c>
      <c r="D4" s="19" t="s">
        <v>54</v>
      </c>
    </row>
    <row r="5" spans="2:4">
      <c r="C5" s="19" t="s">
        <v>55</v>
      </c>
      <c r="D5" s="19" t="s">
        <v>56</v>
      </c>
    </row>
    <row r="6" spans="2:4">
      <c r="C6" s="19" t="s">
        <v>57</v>
      </c>
      <c r="D6" s="19" t="s">
        <v>58</v>
      </c>
    </row>
    <row r="7" spans="2:4">
      <c r="C7" s="19" t="s">
        <v>59</v>
      </c>
      <c r="D7" s="19" t="s">
        <v>60</v>
      </c>
    </row>
    <row r="8" spans="2:4">
      <c r="C8" s="19" t="s">
        <v>61</v>
      </c>
      <c r="D8" s="19" t="s">
        <v>62</v>
      </c>
    </row>
    <row r="9" spans="2:4">
      <c r="C9" s="19" t="s">
        <v>63</v>
      </c>
      <c r="D9" s="19" t="s">
        <v>64</v>
      </c>
    </row>
    <row r="11" spans="2:4" ht="21">
      <c r="B11" s="18" t="s">
        <v>65</v>
      </c>
    </row>
    <row r="12" spans="2:4">
      <c r="B12" s="20" t="s">
        <v>66</v>
      </c>
      <c r="C12" s="20" t="s">
        <v>48</v>
      </c>
    </row>
    <row r="13" spans="2:4">
      <c r="B13" s="19" t="s">
        <v>67</v>
      </c>
      <c r="C13" s="19" t="s">
        <v>68</v>
      </c>
    </row>
    <row r="14" spans="2:4">
      <c r="B14" s="19" t="s">
        <v>69</v>
      </c>
      <c r="C14" s="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F466-78C1-E649-AD5F-7A3A4E99EF7A}">
  <dimension ref="A1:AB28"/>
  <sheetViews>
    <sheetView workbookViewId="0">
      <selection activeCell="K9" sqref="K9"/>
    </sheetView>
  </sheetViews>
  <sheetFormatPr baseColWidth="10" defaultRowHeight="16"/>
  <cols>
    <col min="1" max="1" width="10.83203125" style="69"/>
    <col min="2" max="2" width="18" style="69" customWidth="1"/>
    <col min="3" max="3" width="12.5" style="69" customWidth="1"/>
    <col min="4" max="4" width="11" style="69" customWidth="1"/>
    <col min="5" max="6" width="10.83203125" style="69"/>
    <col min="7" max="7" width="11.5" style="69" customWidth="1"/>
    <col min="8" max="16384" width="10.83203125" style="69"/>
  </cols>
  <sheetData>
    <row r="1" spans="1:28" s="60" customFormat="1" ht="119">
      <c r="A1" s="60" t="s">
        <v>0</v>
      </c>
      <c r="B1" s="60" t="s">
        <v>1</v>
      </c>
      <c r="C1" s="60" t="s">
        <v>2</v>
      </c>
      <c r="D1" s="60" t="s">
        <v>71</v>
      </c>
      <c r="E1" s="60" t="s">
        <v>72</v>
      </c>
      <c r="F1" s="60" t="s">
        <v>73</v>
      </c>
      <c r="G1" s="60" t="s">
        <v>74</v>
      </c>
      <c r="H1" s="60" t="s">
        <v>75</v>
      </c>
      <c r="I1" s="60" t="s">
        <v>76</v>
      </c>
      <c r="J1" s="60" t="s">
        <v>77</v>
      </c>
      <c r="K1" s="60" t="s">
        <v>78</v>
      </c>
      <c r="L1" s="61" t="s">
        <v>79</v>
      </c>
      <c r="M1" s="60" t="s">
        <v>80</v>
      </c>
      <c r="N1" s="60" t="s">
        <v>81</v>
      </c>
      <c r="O1" s="60" t="s">
        <v>82</v>
      </c>
      <c r="P1" s="60" t="s">
        <v>83</v>
      </c>
      <c r="Q1" s="60" t="s">
        <v>84</v>
      </c>
      <c r="R1" s="60" t="s">
        <v>85</v>
      </c>
      <c r="S1" s="60" t="s">
        <v>86</v>
      </c>
      <c r="T1" s="60" t="s">
        <v>87</v>
      </c>
      <c r="U1" s="62" t="s">
        <v>93</v>
      </c>
      <c r="V1" s="62" t="s">
        <v>94</v>
      </c>
      <c r="W1" s="62" t="s">
        <v>95</v>
      </c>
      <c r="X1" s="62" t="s">
        <v>88</v>
      </c>
      <c r="Y1" s="62" t="s">
        <v>89</v>
      </c>
      <c r="Z1" s="62" t="s">
        <v>90</v>
      </c>
      <c r="AA1" s="62" t="s">
        <v>91</v>
      </c>
      <c r="AB1" s="62" t="s">
        <v>92</v>
      </c>
    </row>
    <row r="2" spans="1:28" s="65" customFormat="1" ht="17">
      <c r="A2" s="63">
        <v>10983</v>
      </c>
      <c r="B2" s="64" t="s">
        <v>3</v>
      </c>
      <c r="C2" s="65">
        <v>31731</v>
      </c>
      <c r="D2" s="65">
        <v>1049</v>
      </c>
      <c r="E2" s="65">
        <f>C2/D2</f>
        <v>30.24880838894185</v>
      </c>
      <c r="F2" s="65">
        <f>(150/5*20)*E2</f>
        <v>18149.285033365111</v>
      </c>
      <c r="G2" s="65">
        <f>F2*H2</f>
        <v>1814928.5033365111</v>
      </c>
      <c r="H2" s="65">
        <v>100</v>
      </c>
      <c r="I2" s="65" t="s">
        <v>111</v>
      </c>
      <c r="J2" s="65">
        <f>I2*G2</f>
        <v>511809.8379408961</v>
      </c>
      <c r="K2" s="65" t="s">
        <v>124</v>
      </c>
      <c r="L2" s="65">
        <f>K2*J2</f>
        <v>342.91259142040042</v>
      </c>
      <c r="M2" s="65" t="s">
        <v>145</v>
      </c>
      <c r="N2" s="65">
        <f>M2*L2</f>
        <v>323.70948630085798</v>
      </c>
      <c r="O2" s="65" t="s">
        <v>160</v>
      </c>
      <c r="P2" s="65" t="s">
        <v>177</v>
      </c>
      <c r="Q2" s="65">
        <f>P2*L2</f>
        <v>92.243487092087719</v>
      </c>
      <c r="R2" s="65" t="s">
        <v>203</v>
      </c>
      <c r="S2" s="65" t="s">
        <v>203</v>
      </c>
      <c r="T2" s="65">
        <f>S2*L2</f>
        <v>0</v>
      </c>
      <c r="U2" s="65" t="s">
        <v>100</v>
      </c>
      <c r="V2" s="65" t="s">
        <v>177</v>
      </c>
      <c r="W2" s="65">
        <f>V2*L2</f>
        <v>92.243487092087719</v>
      </c>
      <c r="X2" s="65" t="s">
        <v>203</v>
      </c>
      <c r="Y2" s="65">
        <f>X2*L2</f>
        <v>0</v>
      </c>
      <c r="Z2" s="65" t="s">
        <v>103</v>
      </c>
      <c r="AA2" s="65" t="s">
        <v>211</v>
      </c>
      <c r="AB2" s="65">
        <f>AA2*L2</f>
        <v>69.954168649761684</v>
      </c>
    </row>
    <row r="3" spans="1:28" s="65" customFormat="1" ht="17">
      <c r="A3" s="63">
        <v>10984</v>
      </c>
      <c r="B3" s="64" t="s">
        <v>3</v>
      </c>
      <c r="C3" s="65">
        <v>38252</v>
      </c>
      <c r="D3" s="65">
        <v>972</v>
      </c>
      <c r="E3" s="65">
        <f>C3/D3</f>
        <v>39.353909465020578</v>
      </c>
      <c r="F3" s="65">
        <f>(150/5*20)*E3</f>
        <v>23612.345679012345</v>
      </c>
      <c r="G3" s="65">
        <f>F3*H3</f>
        <v>2361234.5679012346</v>
      </c>
      <c r="H3" s="65">
        <v>100</v>
      </c>
      <c r="I3" s="65" t="s">
        <v>112</v>
      </c>
      <c r="J3" s="65">
        <f>I3*G3</f>
        <v>661145.67901234573</v>
      </c>
      <c r="K3" s="65" t="s">
        <v>125</v>
      </c>
      <c r="L3" s="65">
        <f>K3*J3</f>
        <v>495.85925925925932</v>
      </c>
      <c r="M3" s="65" t="s">
        <v>146</v>
      </c>
      <c r="N3" s="65">
        <f>M3*L3</f>
        <v>458.66981481481491</v>
      </c>
      <c r="O3" s="65" t="s">
        <v>161</v>
      </c>
      <c r="P3" s="65" t="s">
        <v>112</v>
      </c>
      <c r="Q3" s="65">
        <f>P3*L3</f>
        <v>138.84059259259263</v>
      </c>
      <c r="R3" s="65" t="s">
        <v>203</v>
      </c>
      <c r="S3" s="65" t="s">
        <v>203</v>
      </c>
      <c r="T3" s="65">
        <f t="shared" ref="T3:T25" si="0">S3*L3</f>
        <v>0</v>
      </c>
      <c r="U3" s="65" t="s">
        <v>100</v>
      </c>
      <c r="V3" s="65" t="s">
        <v>112</v>
      </c>
      <c r="W3" s="65">
        <f t="shared" ref="W3:W25" si="1">V3*L3</f>
        <v>138.84059259259263</v>
      </c>
      <c r="X3" s="65" t="s">
        <v>203</v>
      </c>
      <c r="Y3" s="65">
        <f t="shared" ref="Y3:Y25" si="2">X3*L3</f>
        <v>0</v>
      </c>
      <c r="Z3" s="65" t="s">
        <v>102</v>
      </c>
      <c r="AA3" s="65" t="s">
        <v>176</v>
      </c>
      <c r="AB3" s="65">
        <f t="shared" ref="AB3:AB25" si="3">AA3*L3</f>
        <v>64.957562962962967</v>
      </c>
    </row>
    <row r="4" spans="1:28" s="65" customFormat="1" ht="17">
      <c r="A4" s="63">
        <v>10985</v>
      </c>
      <c r="B4" s="64" t="s">
        <v>3</v>
      </c>
      <c r="C4" s="65">
        <v>33889</v>
      </c>
      <c r="D4" s="65">
        <v>962</v>
      </c>
      <c r="E4" s="65">
        <f>C4/D4</f>
        <v>35.227650727650726</v>
      </c>
      <c r="F4" s="65">
        <f>(150/5*20)*E4</f>
        <v>21136.590436590435</v>
      </c>
      <c r="G4" s="65">
        <f>F4*H4</f>
        <v>2113659.0436590435</v>
      </c>
      <c r="H4" s="65">
        <v>100</v>
      </c>
      <c r="I4" s="65" t="s">
        <v>113</v>
      </c>
      <c r="J4" s="65">
        <f>I4*G4</f>
        <v>579142.57796257793</v>
      </c>
      <c r="K4" s="65" t="s">
        <v>126</v>
      </c>
      <c r="L4" s="65">
        <f>K4*J4</f>
        <v>440.14835925155927</v>
      </c>
      <c r="M4" s="65" t="s">
        <v>147</v>
      </c>
      <c r="N4" s="65">
        <f>M4*L4</f>
        <v>416.38034785197505</v>
      </c>
      <c r="O4" s="65" t="s">
        <v>119</v>
      </c>
      <c r="P4" s="65" t="s">
        <v>178</v>
      </c>
      <c r="Q4" s="65">
        <f>P4*L4</f>
        <v>94.631897239085248</v>
      </c>
      <c r="R4" s="65" t="s">
        <v>235</v>
      </c>
      <c r="S4" s="65" t="s">
        <v>236</v>
      </c>
      <c r="T4" s="65">
        <f t="shared" si="0"/>
        <v>2.9489940069854472</v>
      </c>
      <c r="U4" s="65" t="s">
        <v>222</v>
      </c>
      <c r="V4" s="65" t="s">
        <v>175</v>
      </c>
      <c r="W4" s="65">
        <f t="shared" si="1"/>
        <v>85.828930054054055</v>
      </c>
      <c r="X4" s="65" t="s">
        <v>203</v>
      </c>
      <c r="Y4" s="65">
        <f t="shared" si="2"/>
        <v>0</v>
      </c>
      <c r="Z4" s="65" t="s">
        <v>200</v>
      </c>
      <c r="AA4" s="65" t="s">
        <v>175</v>
      </c>
      <c r="AB4" s="65">
        <f t="shared" si="3"/>
        <v>85.828930054054055</v>
      </c>
    </row>
    <row r="5" spans="1:28" s="65" customFormat="1" ht="17">
      <c r="A5" s="63">
        <v>10974</v>
      </c>
      <c r="B5" s="64" t="s">
        <v>3</v>
      </c>
      <c r="C5" s="65">
        <v>16982</v>
      </c>
      <c r="D5" s="65">
        <v>971</v>
      </c>
      <c r="E5" s="65">
        <f>C5/D5</f>
        <v>17.489186405767249</v>
      </c>
      <c r="F5" s="65">
        <f>(150/5*20)*E5</f>
        <v>10493.51184346035</v>
      </c>
      <c r="G5" s="65">
        <f>F5*H5</f>
        <v>1049351.1843460351</v>
      </c>
      <c r="H5" s="65">
        <v>100</v>
      </c>
      <c r="I5" s="65" t="s">
        <v>19</v>
      </c>
      <c r="J5" s="65">
        <f>I5*G5</f>
        <v>206722.18331616893</v>
      </c>
      <c r="K5" s="65" t="s">
        <v>127</v>
      </c>
      <c r="L5" s="65">
        <f>K5*J5</f>
        <v>188.11718681771373</v>
      </c>
      <c r="M5" s="65" t="s">
        <v>97</v>
      </c>
      <c r="N5" s="65">
        <f>M5*L5</f>
        <v>181.15685090545833</v>
      </c>
      <c r="O5" s="65" t="s">
        <v>162</v>
      </c>
      <c r="P5" s="65" t="s">
        <v>163</v>
      </c>
      <c r="Q5" s="65">
        <f>P5*L5</f>
        <v>31.039335824922766</v>
      </c>
      <c r="R5" s="65" t="s">
        <v>237</v>
      </c>
      <c r="S5" s="65" t="s">
        <v>238</v>
      </c>
      <c r="T5" s="65">
        <f t="shared" si="0"/>
        <v>1.7306781187229663</v>
      </c>
      <c r="U5" s="65" t="s">
        <v>100</v>
      </c>
      <c r="V5" s="65" t="s">
        <v>163</v>
      </c>
      <c r="W5" s="65">
        <f t="shared" si="1"/>
        <v>31.039335824922766</v>
      </c>
      <c r="X5" s="65" t="s">
        <v>203</v>
      </c>
      <c r="Y5" s="65">
        <f t="shared" si="2"/>
        <v>0</v>
      </c>
      <c r="Z5" s="65" t="s">
        <v>201</v>
      </c>
      <c r="AA5" s="65" t="s">
        <v>29</v>
      </c>
      <c r="AB5" s="65">
        <f t="shared" si="3"/>
        <v>34.425445187641614</v>
      </c>
    </row>
    <row r="6" spans="1:28" s="65" customFormat="1" ht="17">
      <c r="A6" s="63">
        <v>10975</v>
      </c>
      <c r="B6" s="64" t="s">
        <v>3</v>
      </c>
      <c r="C6" s="65">
        <v>29084</v>
      </c>
      <c r="D6" s="65">
        <v>971</v>
      </c>
      <c r="E6" s="65">
        <f t="shared" ref="E6:E7" si="4">C6/D6</f>
        <v>29.952626158599383</v>
      </c>
      <c r="F6" s="65">
        <f t="shared" ref="F6:F7" si="5">(150/5*20)*E6</f>
        <v>17971.57569515963</v>
      </c>
      <c r="G6" s="65">
        <f t="shared" ref="G6:G7" si="6">F6*H6</f>
        <v>1797157.5695159631</v>
      </c>
      <c r="H6" s="65">
        <v>100</v>
      </c>
      <c r="I6" s="65" t="s">
        <v>109</v>
      </c>
      <c r="J6" s="65">
        <f t="shared" ref="J6:J7" si="7">I6*G6</f>
        <v>485232.54376931005</v>
      </c>
      <c r="K6" s="65" t="s">
        <v>128</v>
      </c>
      <c r="L6" s="65">
        <f t="shared" ref="L6:L7" si="8">K6*J6</f>
        <v>630.80230690010308</v>
      </c>
      <c r="M6" s="65" t="s">
        <v>101</v>
      </c>
      <c r="N6" s="65">
        <f t="shared" ref="N6:N7" si="9">M6*L6</f>
        <v>618.81706306900105</v>
      </c>
      <c r="O6" s="65" t="s">
        <v>163</v>
      </c>
      <c r="P6" s="65" t="s">
        <v>179</v>
      </c>
      <c r="Q6" s="65">
        <f t="shared" ref="Q6:Q7" si="10">P6*L6</f>
        <v>102.1899737178167</v>
      </c>
      <c r="R6" s="65" t="s">
        <v>239</v>
      </c>
      <c r="S6" s="65" t="s">
        <v>240</v>
      </c>
      <c r="T6" s="65">
        <f t="shared" si="0"/>
        <v>15.013094904222454</v>
      </c>
      <c r="U6" s="65" t="s">
        <v>223</v>
      </c>
      <c r="V6" s="65" t="s">
        <v>28</v>
      </c>
      <c r="W6" s="65">
        <f t="shared" si="1"/>
        <v>90.20472988671473</v>
      </c>
      <c r="X6" s="65" t="s">
        <v>203</v>
      </c>
      <c r="Y6" s="65">
        <f t="shared" si="2"/>
        <v>0</v>
      </c>
      <c r="Z6" s="65" t="s">
        <v>8</v>
      </c>
      <c r="AA6" s="65" t="s">
        <v>212</v>
      </c>
      <c r="AB6" s="65">
        <f t="shared" si="3"/>
        <v>170.94742516992795</v>
      </c>
    </row>
    <row r="7" spans="1:28" s="65" customFormat="1" ht="17">
      <c r="A7" s="63">
        <v>10976</v>
      </c>
      <c r="B7" s="64" t="s">
        <v>3</v>
      </c>
      <c r="C7" s="65">
        <v>32921</v>
      </c>
      <c r="D7" s="65">
        <v>974</v>
      </c>
      <c r="E7" s="65">
        <f t="shared" si="4"/>
        <v>33.799794661190965</v>
      </c>
      <c r="F7" s="65">
        <f t="shared" si="5"/>
        <v>20279.87679671458</v>
      </c>
      <c r="G7" s="65">
        <f t="shared" si="6"/>
        <v>2027987.679671458</v>
      </c>
      <c r="H7" s="65">
        <v>100</v>
      </c>
      <c r="I7" s="65" t="s">
        <v>110</v>
      </c>
      <c r="J7" s="65">
        <f t="shared" si="7"/>
        <v>577976.48870636546</v>
      </c>
      <c r="K7" s="65" t="s">
        <v>129</v>
      </c>
      <c r="L7" s="65">
        <f t="shared" si="8"/>
        <v>866.96473305954817</v>
      </c>
      <c r="M7" s="65" t="s">
        <v>148</v>
      </c>
      <c r="N7" s="65">
        <f t="shared" si="9"/>
        <v>860.02901519507179</v>
      </c>
      <c r="O7" s="65" t="s">
        <v>164</v>
      </c>
      <c r="P7" s="65" t="s">
        <v>180</v>
      </c>
      <c r="Q7" s="65">
        <f t="shared" si="10"/>
        <v>183.79652340862421</v>
      </c>
      <c r="R7" s="65" t="s">
        <v>241</v>
      </c>
      <c r="S7" s="65" t="s">
        <v>242</v>
      </c>
      <c r="T7" s="65">
        <f t="shared" si="0"/>
        <v>17.946169974332648</v>
      </c>
      <c r="U7" s="65" t="s">
        <v>155</v>
      </c>
      <c r="V7" s="65" t="s">
        <v>20</v>
      </c>
      <c r="W7" s="65">
        <f t="shared" si="1"/>
        <v>179.46169974332645</v>
      </c>
      <c r="X7" s="65" t="s">
        <v>203</v>
      </c>
      <c r="Y7" s="65">
        <f t="shared" si="2"/>
        <v>0</v>
      </c>
      <c r="Z7" s="65" t="s">
        <v>27</v>
      </c>
      <c r="AA7" s="65" t="s">
        <v>213</v>
      </c>
      <c r="AB7" s="65">
        <f t="shared" si="3"/>
        <v>194.2001002053388</v>
      </c>
    </row>
    <row r="8" spans="1:28" s="66" customFormat="1">
      <c r="A8" s="66">
        <v>10986</v>
      </c>
      <c r="B8" s="66" t="s">
        <v>4</v>
      </c>
      <c r="C8" s="66">
        <v>54774</v>
      </c>
      <c r="D8" s="66">
        <v>973</v>
      </c>
      <c r="E8" s="66">
        <f t="shared" ref="E8:E25" si="11">C8/D8</f>
        <v>56.293936279547793</v>
      </c>
      <c r="F8" s="66">
        <f t="shared" ref="F8:F25" si="12">(150/5*20)*E8</f>
        <v>33776.361767728675</v>
      </c>
      <c r="G8" s="66">
        <f t="shared" ref="G8:G25" si="13">F8*H8</f>
        <v>3377636.1767728673</v>
      </c>
      <c r="H8" s="66">
        <v>100</v>
      </c>
      <c r="I8" s="66" t="s">
        <v>114</v>
      </c>
      <c r="J8" s="66">
        <f t="shared" ref="J8:J25" si="14">I8*G8</f>
        <v>847786.68036998971</v>
      </c>
      <c r="K8" s="66" t="s">
        <v>130</v>
      </c>
      <c r="L8" s="66">
        <f t="shared" ref="L8:L25" si="15">K8*J8</f>
        <v>381.50400616649534</v>
      </c>
      <c r="M8" s="66" t="s">
        <v>98</v>
      </c>
      <c r="N8" s="66">
        <f t="shared" ref="N8:N25" si="16">M8*L8</f>
        <v>359.7582778150051</v>
      </c>
      <c r="O8" s="66" t="s">
        <v>165</v>
      </c>
      <c r="P8" s="66" t="s">
        <v>181</v>
      </c>
      <c r="Q8" s="66">
        <f t="shared" ref="Q8:Q25" si="17">P8*L8</f>
        <v>198.0005792004111</v>
      </c>
      <c r="R8" s="66" t="s">
        <v>236</v>
      </c>
      <c r="S8" s="66" t="s">
        <v>243</v>
      </c>
      <c r="T8" s="66">
        <f t="shared" si="0"/>
        <v>2.4034752388489209</v>
      </c>
      <c r="U8" s="66" t="s">
        <v>224</v>
      </c>
      <c r="V8" s="66" t="s">
        <v>194</v>
      </c>
      <c r="W8" s="66">
        <f t="shared" si="1"/>
        <v>185.79245100308322</v>
      </c>
      <c r="X8" s="66" t="s">
        <v>203</v>
      </c>
      <c r="Y8" s="66">
        <f t="shared" si="2"/>
        <v>0</v>
      </c>
      <c r="Z8" s="66" t="s">
        <v>15</v>
      </c>
      <c r="AA8" s="66" t="s">
        <v>214</v>
      </c>
      <c r="AB8" s="66">
        <f t="shared" si="3"/>
        <v>19.304102712024665</v>
      </c>
    </row>
    <row r="9" spans="1:28" s="66" customFormat="1">
      <c r="A9" s="66">
        <v>10987</v>
      </c>
      <c r="B9" s="66" t="s">
        <v>4</v>
      </c>
      <c r="C9" s="66">
        <v>22737</v>
      </c>
      <c r="D9" s="66">
        <v>972</v>
      </c>
      <c r="E9" s="66">
        <f t="shared" si="11"/>
        <v>23.391975308641975</v>
      </c>
      <c r="F9" s="66">
        <f t="shared" si="12"/>
        <v>14035.185185185184</v>
      </c>
      <c r="G9" s="66">
        <f t="shared" si="13"/>
        <v>1403518.5185185184</v>
      </c>
      <c r="H9" s="66">
        <v>100</v>
      </c>
      <c r="I9" s="66" t="s">
        <v>115</v>
      </c>
      <c r="J9" s="66">
        <f t="shared" si="14"/>
        <v>359300.74074074073</v>
      </c>
      <c r="K9" s="66" t="s">
        <v>131</v>
      </c>
      <c r="L9" s="66">
        <f t="shared" si="15"/>
        <v>201.2084148148148</v>
      </c>
      <c r="M9" s="66" t="s">
        <v>149</v>
      </c>
      <c r="N9" s="66">
        <f t="shared" si="16"/>
        <v>191.95282773333332</v>
      </c>
      <c r="O9" s="66" t="s">
        <v>166</v>
      </c>
      <c r="P9" s="66" t="s">
        <v>182</v>
      </c>
      <c r="Q9" s="66">
        <f t="shared" si="17"/>
        <v>80.885782755555553</v>
      </c>
      <c r="R9" s="66" t="s">
        <v>244</v>
      </c>
      <c r="S9" s="66" t="s">
        <v>245</v>
      </c>
      <c r="T9" s="66">
        <f t="shared" si="0"/>
        <v>2.3138967703703703</v>
      </c>
      <c r="U9" s="66" t="s">
        <v>100</v>
      </c>
      <c r="V9" s="66" t="s">
        <v>182</v>
      </c>
      <c r="W9" s="66">
        <f t="shared" si="1"/>
        <v>80.885782755555553</v>
      </c>
      <c r="X9" s="66" t="s">
        <v>203</v>
      </c>
      <c r="Y9" s="66">
        <f t="shared" si="2"/>
        <v>0</v>
      </c>
      <c r="Z9" s="66" t="s">
        <v>202</v>
      </c>
      <c r="AA9" s="66" t="s">
        <v>215</v>
      </c>
      <c r="AB9" s="66">
        <f t="shared" si="3"/>
        <v>16.197277392592593</v>
      </c>
    </row>
    <row r="10" spans="1:28" s="66" customFormat="1">
      <c r="A10" s="66">
        <v>10988</v>
      </c>
      <c r="B10" s="66" t="s">
        <v>4</v>
      </c>
      <c r="C10" s="66">
        <v>48846</v>
      </c>
      <c r="D10" s="66">
        <v>979</v>
      </c>
      <c r="E10" s="66">
        <f t="shared" si="11"/>
        <v>49.893769152196121</v>
      </c>
      <c r="F10" s="66">
        <f t="shared" si="12"/>
        <v>29936.261491317673</v>
      </c>
      <c r="G10" s="66">
        <f t="shared" si="13"/>
        <v>2993626.1491317675</v>
      </c>
      <c r="H10" s="66">
        <v>100</v>
      </c>
      <c r="I10" s="66" t="s">
        <v>116</v>
      </c>
      <c r="J10" s="66">
        <f t="shared" si="14"/>
        <v>877132.46169560787</v>
      </c>
      <c r="K10" s="66" t="s">
        <v>132</v>
      </c>
      <c r="L10" s="66">
        <f t="shared" si="15"/>
        <v>359.62430929519923</v>
      </c>
      <c r="M10" s="66" t="s">
        <v>99</v>
      </c>
      <c r="N10" s="66">
        <f t="shared" si="16"/>
        <v>345.23933692339125</v>
      </c>
      <c r="O10" s="66" t="s">
        <v>167</v>
      </c>
      <c r="P10" s="66" t="s">
        <v>11</v>
      </c>
      <c r="Q10" s="66">
        <f t="shared" si="17"/>
        <v>109.32579002574056</v>
      </c>
      <c r="R10" s="66" t="s">
        <v>203</v>
      </c>
      <c r="S10" s="66" t="s">
        <v>203</v>
      </c>
      <c r="T10" s="66">
        <f t="shared" si="0"/>
        <v>0</v>
      </c>
      <c r="U10" s="66" t="s">
        <v>225</v>
      </c>
      <c r="V10" s="66" t="s">
        <v>10</v>
      </c>
      <c r="W10" s="66">
        <f t="shared" si="1"/>
        <v>106.44879555137896</v>
      </c>
      <c r="X10" s="66" t="s">
        <v>203</v>
      </c>
      <c r="Y10" s="66">
        <f t="shared" si="2"/>
        <v>0</v>
      </c>
      <c r="Z10" s="66" t="s">
        <v>21</v>
      </c>
      <c r="AA10" s="66" t="s">
        <v>213</v>
      </c>
      <c r="AB10" s="66">
        <f t="shared" si="3"/>
        <v>80.555845282124622</v>
      </c>
    </row>
    <row r="11" spans="1:28" s="66" customFormat="1">
      <c r="A11" s="66">
        <v>10977</v>
      </c>
      <c r="B11" s="66" t="s">
        <v>4</v>
      </c>
      <c r="C11" s="66">
        <v>15855</v>
      </c>
      <c r="D11" s="66">
        <v>969</v>
      </c>
      <c r="E11" s="66">
        <f t="shared" si="11"/>
        <v>16.362229102167184</v>
      </c>
      <c r="F11" s="66">
        <f t="shared" si="12"/>
        <v>9817.3374613003107</v>
      </c>
      <c r="G11" s="66">
        <f t="shared" si="13"/>
        <v>981733.74613003107</v>
      </c>
      <c r="H11" s="66">
        <v>100</v>
      </c>
      <c r="I11" s="66" t="s">
        <v>9</v>
      </c>
      <c r="J11" s="66">
        <f t="shared" si="14"/>
        <v>248378.63777089785</v>
      </c>
      <c r="K11" s="66" t="s">
        <v>133</v>
      </c>
      <c r="L11" s="66">
        <f t="shared" si="15"/>
        <v>12.493445479876163</v>
      </c>
      <c r="M11" s="66" t="s">
        <v>150</v>
      </c>
      <c r="N11" s="66">
        <f t="shared" si="16"/>
        <v>10.706882776253872</v>
      </c>
      <c r="O11" s="66" t="s">
        <v>168</v>
      </c>
      <c r="P11" s="66" t="s">
        <v>183</v>
      </c>
      <c r="Q11" s="66">
        <f t="shared" si="17"/>
        <v>7.1337573690092881</v>
      </c>
      <c r="R11" s="66" t="s">
        <v>203</v>
      </c>
      <c r="S11" s="66" t="s">
        <v>203</v>
      </c>
      <c r="T11" s="66">
        <f t="shared" si="0"/>
        <v>0</v>
      </c>
      <c r="U11" s="66" t="s">
        <v>226</v>
      </c>
      <c r="V11" s="66" t="s">
        <v>195</v>
      </c>
      <c r="W11" s="66">
        <f t="shared" si="1"/>
        <v>5.3596881108668741</v>
      </c>
      <c r="X11" s="66" t="s">
        <v>203</v>
      </c>
      <c r="Y11" s="66">
        <f t="shared" si="2"/>
        <v>0</v>
      </c>
      <c r="Z11" s="66" t="s">
        <v>203</v>
      </c>
      <c r="AA11" s="66" t="s">
        <v>203</v>
      </c>
      <c r="AB11" s="66">
        <f t="shared" si="3"/>
        <v>0</v>
      </c>
    </row>
    <row r="12" spans="1:28" s="66" customFormat="1">
      <c r="A12" s="66">
        <v>10978</v>
      </c>
      <c r="B12" s="66" t="s">
        <v>4</v>
      </c>
      <c r="C12" s="66">
        <v>26170</v>
      </c>
      <c r="D12" s="66">
        <v>965</v>
      </c>
      <c r="E12" s="66">
        <f t="shared" si="11"/>
        <v>27.119170984455959</v>
      </c>
      <c r="F12" s="66">
        <f t="shared" si="12"/>
        <v>16271.502590673575</v>
      </c>
      <c r="G12" s="66">
        <f t="shared" si="13"/>
        <v>1627150.2590673575</v>
      </c>
      <c r="H12" s="66">
        <v>100</v>
      </c>
      <c r="I12" s="66" t="s">
        <v>9</v>
      </c>
      <c r="J12" s="66">
        <f t="shared" si="14"/>
        <v>411669.01554404147</v>
      </c>
      <c r="K12" s="66" t="s">
        <v>134</v>
      </c>
      <c r="L12" s="66">
        <f t="shared" si="15"/>
        <v>177.01767668393782</v>
      </c>
      <c r="M12" s="66" t="s">
        <v>151</v>
      </c>
      <c r="N12" s="66">
        <f t="shared" si="16"/>
        <v>174.71644688704663</v>
      </c>
      <c r="O12" s="66" t="s">
        <v>169</v>
      </c>
      <c r="P12" s="66" t="s">
        <v>184</v>
      </c>
      <c r="Q12" s="66">
        <f t="shared" si="17"/>
        <v>70.276017643523318</v>
      </c>
      <c r="R12" s="66" t="s">
        <v>246</v>
      </c>
      <c r="S12" s="66" t="s">
        <v>247</v>
      </c>
      <c r="T12" s="66">
        <f t="shared" si="0"/>
        <v>13.612659336994819</v>
      </c>
      <c r="U12" s="66" t="s">
        <v>100</v>
      </c>
      <c r="V12" s="66" t="s">
        <v>184</v>
      </c>
      <c r="W12" s="66">
        <f t="shared" si="1"/>
        <v>70.276017643523318</v>
      </c>
      <c r="X12" s="66" t="s">
        <v>203</v>
      </c>
      <c r="Y12" s="66">
        <f t="shared" si="2"/>
        <v>0</v>
      </c>
      <c r="Z12" s="66" t="s">
        <v>26</v>
      </c>
      <c r="AA12" s="66" t="s">
        <v>216</v>
      </c>
      <c r="AB12" s="66">
        <f t="shared" si="3"/>
        <v>31.68616412642487</v>
      </c>
    </row>
    <row r="13" spans="1:28" s="66" customFormat="1">
      <c r="A13" s="66">
        <v>10979</v>
      </c>
      <c r="B13" s="66" t="s">
        <v>4</v>
      </c>
      <c r="C13" s="66">
        <v>32174</v>
      </c>
      <c r="D13" s="66">
        <v>969</v>
      </c>
      <c r="E13" s="66">
        <f t="shared" si="11"/>
        <v>33.20330237358101</v>
      </c>
      <c r="F13" s="66">
        <f t="shared" si="12"/>
        <v>19921.981424148606</v>
      </c>
      <c r="G13" s="66">
        <f t="shared" si="13"/>
        <v>1992198.1424148607</v>
      </c>
      <c r="H13" s="66">
        <v>100</v>
      </c>
      <c r="I13" s="66" t="s">
        <v>12</v>
      </c>
      <c r="J13" s="66">
        <f t="shared" si="14"/>
        <v>490080.74303405569</v>
      </c>
      <c r="K13" s="66" t="s">
        <v>135</v>
      </c>
      <c r="L13" s="66">
        <f t="shared" si="15"/>
        <v>38.471338328173367</v>
      </c>
      <c r="M13" s="66" t="s">
        <v>152</v>
      </c>
      <c r="N13" s="66">
        <f t="shared" si="16"/>
        <v>34.431847803715165</v>
      </c>
      <c r="O13" s="66" t="s">
        <v>170</v>
      </c>
      <c r="P13" s="66" t="s">
        <v>185</v>
      </c>
      <c r="Q13" s="66">
        <f t="shared" si="17"/>
        <v>20.235923960619193</v>
      </c>
      <c r="R13" s="66" t="s">
        <v>203</v>
      </c>
      <c r="S13" s="66" t="s">
        <v>203</v>
      </c>
      <c r="T13" s="66">
        <f t="shared" si="0"/>
        <v>0</v>
      </c>
      <c r="U13" s="66" t="s">
        <v>227</v>
      </c>
      <c r="V13" s="66" t="s">
        <v>196</v>
      </c>
      <c r="W13" s="66">
        <f t="shared" si="1"/>
        <v>14.157452504767798</v>
      </c>
      <c r="X13" s="66" t="s">
        <v>203</v>
      </c>
      <c r="Y13" s="66">
        <f t="shared" si="2"/>
        <v>0</v>
      </c>
      <c r="Z13" s="66" t="s">
        <v>204</v>
      </c>
      <c r="AA13" s="66" t="s">
        <v>217</v>
      </c>
      <c r="AB13" s="66">
        <f t="shared" si="3"/>
        <v>2.0235923960619191</v>
      </c>
    </row>
    <row r="14" spans="1:28" s="67" customFormat="1">
      <c r="A14" s="67">
        <v>10992</v>
      </c>
      <c r="B14" s="67" t="s">
        <v>5</v>
      </c>
      <c r="C14" s="67">
        <v>21084</v>
      </c>
      <c r="D14" s="67">
        <v>963</v>
      </c>
      <c r="E14" s="67">
        <f t="shared" si="11"/>
        <v>21.894080996884735</v>
      </c>
      <c r="F14" s="67">
        <f t="shared" si="12"/>
        <v>13136.448598130841</v>
      </c>
      <c r="G14" s="67">
        <f t="shared" si="13"/>
        <v>1313644.8598130841</v>
      </c>
      <c r="H14" s="67">
        <v>100</v>
      </c>
      <c r="I14" s="67" t="s">
        <v>117</v>
      </c>
      <c r="J14" s="67">
        <f t="shared" si="14"/>
        <v>383584.29906542052</v>
      </c>
      <c r="K14" s="67" t="s">
        <v>136</v>
      </c>
      <c r="L14" s="67">
        <f t="shared" si="15"/>
        <v>153.43371962616823</v>
      </c>
      <c r="M14" s="67" t="s">
        <v>100</v>
      </c>
      <c r="N14" s="67">
        <f t="shared" si="16"/>
        <v>153.43371962616823</v>
      </c>
      <c r="O14" s="67" t="s">
        <v>14</v>
      </c>
      <c r="P14" s="67" t="s">
        <v>14</v>
      </c>
      <c r="Q14" s="67">
        <f t="shared" si="17"/>
        <v>50.47969375700935</v>
      </c>
      <c r="R14" s="67" t="s">
        <v>248</v>
      </c>
      <c r="S14" s="67" t="s">
        <v>248</v>
      </c>
      <c r="T14" s="67">
        <f t="shared" si="0"/>
        <v>12.612251753271028</v>
      </c>
      <c r="U14" s="67" t="s">
        <v>100</v>
      </c>
      <c r="V14" s="67" t="s">
        <v>14</v>
      </c>
      <c r="W14" s="67">
        <f t="shared" si="1"/>
        <v>50.47969375700935</v>
      </c>
      <c r="X14" s="67" t="s">
        <v>203</v>
      </c>
      <c r="Y14" s="67">
        <f t="shared" si="2"/>
        <v>0</v>
      </c>
      <c r="Z14" s="67" t="s">
        <v>205</v>
      </c>
      <c r="AA14" s="67" t="s">
        <v>205</v>
      </c>
      <c r="AB14" s="67">
        <f t="shared" si="3"/>
        <v>23.1684916635514</v>
      </c>
    </row>
    <row r="15" spans="1:28" s="67" customFormat="1">
      <c r="A15" s="67">
        <v>10993</v>
      </c>
      <c r="B15" s="67" t="s">
        <v>5</v>
      </c>
      <c r="C15" s="67">
        <v>21442</v>
      </c>
      <c r="D15" s="67">
        <v>980</v>
      </c>
      <c r="E15" s="67">
        <f t="shared" si="11"/>
        <v>21.879591836734694</v>
      </c>
      <c r="F15" s="67">
        <f t="shared" si="12"/>
        <v>13127.755102040815</v>
      </c>
      <c r="G15" s="67">
        <f t="shared" si="13"/>
        <v>1312775.5102040817</v>
      </c>
      <c r="H15" s="67">
        <v>100</v>
      </c>
      <c r="I15" s="67" t="s">
        <v>118</v>
      </c>
      <c r="J15" s="67">
        <f t="shared" si="14"/>
        <v>368889.91836734698</v>
      </c>
      <c r="K15" s="67" t="s">
        <v>137</v>
      </c>
      <c r="L15" s="67">
        <f t="shared" si="15"/>
        <v>88.533580408163274</v>
      </c>
      <c r="M15" s="67" t="s">
        <v>100</v>
      </c>
      <c r="N15" s="67">
        <f t="shared" si="16"/>
        <v>88.533580408163274</v>
      </c>
      <c r="O15" s="67" t="s">
        <v>115</v>
      </c>
      <c r="P15" s="67" t="s">
        <v>115</v>
      </c>
      <c r="Q15" s="67">
        <f t="shared" si="17"/>
        <v>22.6645965844898</v>
      </c>
      <c r="R15" s="67" t="s">
        <v>249</v>
      </c>
      <c r="S15" s="67" t="s">
        <v>249</v>
      </c>
      <c r="T15" s="67">
        <f t="shared" si="0"/>
        <v>4.1168114889795921</v>
      </c>
      <c r="U15" s="67" t="s">
        <v>228</v>
      </c>
      <c r="V15" s="67" t="s">
        <v>21</v>
      </c>
      <c r="W15" s="67">
        <f t="shared" si="1"/>
        <v>20.628324235102045</v>
      </c>
      <c r="X15" s="67" t="s">
        <v>203</v>
      </c>
      <c r="Y15" s="67">
        <f t="shared" si="2"/>
        <v>0</v>
      </c>
      <c r="Z15" s="67" t="s">
        <v>206</v>
      </c>
      <c r="AA15" s="67" t="s">
        <v>206</v>
      </c>
      <c r="AB15" s="67">
        <f t="shared" si="3"/>
        <v>12.394701257142859</v>
      </c>
    </row>
    <row r="16" spans="1:28" s="67" customFormat="1">
      <c r="A16" s="67">
        <v>10994</v>
      </c>
      <c r="B16" s="67" t="s">
        <v>5</v>
      </c>
      <c r="C16" s="67">
        <v>90465</v>
      </c>
      <c r="D16" s="67">
        <v>972</v>
      </c>
      <c r="E16" s="67">
        <f t="shared" si="11"/>
        <v>93.070987654320987</v>
      </c>
      <c r="F16" s="67">
        <f t="shared" si="12"/>
        <v>55842.592592592591</v>
      </c>
      <c r="G16" s="67">
        <f t="shared" si="13"/>
        <v>5584259.2592592593</v>
      </c>
      <c r="H16" s="67">
        <v>100</v>
      </c>
      <c r="I16" s="67" t="s">
        <v>119</v>
      </c>
      <c r="J16" s="67">
        <f t="shared" si="14"/>
        <v>1267626.8518518519</v>
      </c>
      <c r="K16" s="67" t="s">
        <v>138</v>
      </c>
      <c r="L16" s="67">
        <f t="shared" si="15"/>
        <v>747.89984259259268</v>
      </c>
      <c r="M16" s="67" t="s">
        <v>96</v>
      </c>
      <c r="N16" s="67">
        <f t="shared" si="16"/>
        <v>724.71494747222232</v>
      </c>
      <c r="O16" s="67" t="s">
        <v>171</v>
      </c>
      <c r="P16" s="67" t="s">
        <v>186</v>
      </c>
      <c r="Q16" s="67">
        <f t="shared" si="17"/>
        <v>307.38683530555556</v>
      </c>
      <c r="R16" s="67" t="s">
        <v>250</v>
      </c>
      <c r="S16" s="67" t="s">
        <v>251</v>
      </c>
      <c r="T16" s="67">
        <f t="shared" si="0"/>
        <v>12.789087308333336</v>
      </c>
      <c r="U16" s="67" t="s">
        <v>229</v>
      </c>
      <c r="V16" s="67" t="s">
        <v>197</v>
      </c>
      <c r="W16" s="67">
        <f t="shared" si="1"/>
        <v>294.67253798148153</v>
      </c>
      <c r="X16" s="67" t="s">
        <v>203</v>
      </c>
      <c r="Y16" s="67">
        <f t="shared" si="2"/>
        <v>0</v>
      </c>
      <c r="Z16" s="67" t="s">
        <v>207</v>
      </c>
      <c r="AA16" s="67" t="s">
        <v>218</v>
      </c>
      <c r="AB16" s="67">
        <f t="shared" si="3"/>
        <v>69.180735439814825</v>
      </c>
    </row>
    <row r="17" spans="1:28" s="67" customFormat="1">
      <c r="A17" s="67">
        <v>10980</v>
      </c>
      <c r="B17" s="67" t="s">
        <v>5</v>
      </c>
      <c r="C17" s="67">
        <v>23087</v>
      </c>
      <c r="D17" s="67">
        <v>969</v>
      </c>
      <c r="E17" s="67">
        <f t="shared" si="11"/>
        <v>23.825593395252838</v>
      </c>
      <c r="F17" s="67">
        <f t="shared" si="12"/>
        <v>14295.356037151703</v>
      </c>
      <c r="G17" s="67">
        <f t="shared" si="13"/>
        <v>1429535.6037151704</v>
      </c>
      <c r="H17" s="67">
        <v>100</v>
      </c>
      <c r="I17" s="67" t="s">
        <v>9</v>
      </c>
      <c r="J17" s="67">
        <f t="shared" si="14"/>
        <v>361672.5077399381</v>
      </c>
      <c r="K17" s="67" t="s">
        <v>139</v>
      </c>
      <c r="L17" s="67">
        <f t="shared" si="15"/>
        <v>256.78748049535608</v>
      </c>
      <c r="M17" s="67" t="s">
        <v>147</v>
      </c>
      <c r="N17" s="67">
        <f t="shared" si="16"/>
        <v>242.92095654860682</v>
      </c>
      <c r="O17" s="67" t="s">
        <v>172</v>
      </c>
      <c r="P17" s="67" t="s">
        <v>187</v>
      </c>
      <c r="Q17" s="67">
        <f t="shared" si="17"/>
        <v>57.263608150464407</v>
      </c>
      <c r="R17" s="67" t="s">
        <v>252</v>
      </c>
      <c r="S17" s="67" t="s">
        <v>253</v>
      </c>
      <c r="T17" s="67">
        <f t="shared" si="0"/>
        <v>9.1673130536842127</v>
      </c>
      <c r="U17" s="67" t="s">
        <v>100</v>
      </c>
      <c r="V17" s="67" t="s">
        <v>187</v>
      </c>
      <c r="W17" s="67">
        <f t="shared" si="1"/>
        <v>57.263608150464407</v>
      </c>
      <c r="X17" s="67" t="s">
        <v>203</v>
      </c>
      <c r="Y17" s="67">
        <f t="shared" si="2"/>
        <v>0</v>
      </c>
      <c r="Z17" s="67" t="s">
        <v>208</v>
      </c>
      <c r="AA17" s="67" t="s">
        <v>23</v>
      </c>
      <c r="AB17" s="67">
        <f t="shared" si="3"/>
        <v>29.787347737461307</v>
      </c>
    </row>
    <row r="18" spans="1:28" s="67" customFormat="1">
      <c r="A18" s="67">
        <v>10981</v>
      </c>
      <c r="B18" s="67" t="s">
        <v>5</v>
      </c>
      <c r="C18" s="67">
        <v>18640</v>
      </c>
      <c r="D18" s="67">
        <v>965</v>
      </c>
      <c r="E18" s="67">
        <f t="shared" si="11"/>
        <v>19.316062176165804</v>
      </c>
      <c r="F18" s="67">
        <f t="shared" si="12"/>
        <v>11589.637305699482</v>
      </c>
      <c r="G18" s="67">
        <f t="shared" si="13"/>
        <v>1158963.7305699482</v>
      </c>
      <c r="H18" s="67">
        <v>100</v>
      </c>
      <c r="I18" s="67" t="s">
        <v>17</v>
      </c>
      <c r="J18" s="67">
        <f t="shared" si="14"/>
        <v>331463.62694300513</v>
      </c>
      <c r="K18" s="67" t="s">
        <v>140</v>
      </c>
      <c r="L18" s="67">
        <f t="shared" si="15"/>
        <v>162.41717720207251</v>
      </c>
      <c r="M18" s="67" t="s">
        <v>149</v>
      </c>
      <c r="N18" s="67">
        <f t="shared" si="16"/>
        <v>154.94598705077718</v>
      </c>
      <c r="O18" s="67" t="s">
        <v>8</v>
      </c>
      <c r="P18" s="67" t="s">
        <v>188</v>
      </c>
      <c r="Q18" s="67">
        <f t="shared" si="17"/>
        <v>42.878134781347143</v>
      </c>
      <c r="R18" s="67" t="s">
        <v>254</v>
      </c>
      <c r="S18" s="67" t="s">
        <v>255</v>
      </c>
      <c r="T18" s="67">
        <f t="shared" si="0"/>
        <v>5.6033926134715024</v>
      </c>
      <c r="U18" s="67" t="s">
        <v>100</v>
      </c>
      <c r="V18" s="67" t="s">
        <v>188</v>
      </c>
      <c r="W18" s="67">
        <f t="shared" si="1"/>
        <v>42.878134781347143</v>
      </c>
      <c r="X18" s="67" t="s">
        <v>203</v>
      </c>
      <c r="Y18" s="67">
        <f t="shared" si="2"/>
        <v>0</v>
      </c>
      <c r="Z18" s="67" t="s">
        <v>25</v>
      </c>
      <c r="AA18" s="67" t="s">
        <v>30</v>
      </c>
      <c r="AB18" s="67">
        <f t="shared" si="3"/>
        <v>16.728969251813467</v>
      </c>
    </row>
    <row r="19" spans="1:28" s="67" customFormat="1">
      <c r="A19" s="67">
        <v>10982</v>
      </c>
      <c r="B19" s="67" t="s">
        <v>5</v>
      </c>
      <c r="C19" s="67">
        <v>29011</v>
      </c>
      <c r="D19" s="67">
        <v>966</v>
      </c>
      <c r="E19" s="67">
        <f t="shared" si="11"/>
        <v>30.032091097308488</v>
      </c>
      <c r="F19" s="67">
        <f t="shared" si="12"/>
        <v>18019.254658385093</v>
      </c>
      <c r="G19" s="67">
        <f t="shared" si="13"/>
        <v>1801925.4658385091</v>
      </c>
      <c r="H19" s="67">
        <v>100</v>
      </c>
      <c r="I19" s="67" t="s">
        <v>113</v>
      </c>
      <c r="J19" s="67">
        <f t="shared" si="14"/>
        <v>493727.57763975154</v>
      </c>
      <c r="K19" s="67" t="s">
        <v>141</v>
      </c>
      <c r="L19" s="67">
        <f t="shared" si="15"/>
        <v>172.80465217391304</v>
      </c>
      <c r="M19" s="67" t="s">
        <v>153</v>
      </c>
      <c r="N19" s="67">
        <f t="shared" si="16"/>
        <v>163.64600560869565</v>
      </c>
      <c r="O19" s="67" t="s">
        <v>173</v>
      </c>
      <c r="P19" s="67" t="s">
        <v>189</v>
      </c>
      <c r="Q19" s="67">
        <f t="shared" si="17"/>
        <v>59.963214304347822</v>
      </c>
      <c r="R19" s="67" t="s">
        <v>256</v>
      </c>
      <c r="S19" s="67" t="s">
        <v>257</v>
      </c>
      <c r="T19" s="67">
        <f t="shared" si="0"/>
        <v>4.6138842130434785</v>
      </c>
      <c r="U19" s="67" t="s">
        <v>100</v>
      </c>
      <c r="V19" s="67" t="s">
        <v>189</v>
      </c>
      <c r="W19" s="67">
        <f t="shared" si="1"/>
        <v>59.963214304347822</v>
      </c>
      <c r="X19" s="67" t="s">
        <v>203</v>
      </c>
      <c r="Y19" s="67">
        <f t="shared" si="2"/>
        <v>0</v>
      </c>
      <c r="Z19" s="67" t="s">
        <v>102</v>
      </c>
      <c r="AA19" s="67" t="s">
        <v>219</v>
      </c>
      <c r="AB19" s="67">
        <f t="shared" si="3"/>
        <v>22.983018739130436</v>
      </c>
    </row>
    <row r="20" spans="1:28" s="68" customFormat="1">
      <c r="A20" s="68">
        <v>10995</v>
      </c>
      <c r="B20" s="68" t="s">
        <v>37</v>
      </c>
      <c r="C20" s="68">
        <v>42002</v>
      </c>
      <c r="D20" s="68">
        <v>962</v>
      </c>
      <c r="E20" s="68">
        <f t="shared" si="11"/>
        <v>43.661122661122661</v>
      </c>
      <c r="F20" s="68">
        <f t="shared" si="12"/>
        <v>26196.673596673598</v>
      </c>
      <c r="G20" s="68">
        <f t="shared" si="13"/>
        <v>2619667.3596673599</v>
      </c>
      <c r="H20" s="68">
        <v>100</v>
      </c>
      <c r="I20" s="68" t="s">
        <v>121</v>
      </c>
      <c r="J20" s="68">
        <f t="shared" si="14"/>
        <v>660156.17463617469</v>
      </c>
      <c r="K20" s="68" t="s">
        <v>125</v>
      </c>
      <c r="L20" s="68">
        <f t="shared" si="15"/>
        <v>495.11713097713101</v>
      </c>
      <c r="M20" s="68" t="s">
        <v>154</v>
      </c>
      <c r="N20" s="68">
        <f t="shared" si="16"/>
        <v>480.26361704781709</v>
      </c>
      <c r="O20" s="68" t="s">
        <v>174</v>
      </c>
      <c r="P20" s="68" t="s">
        <v>16</v>
      </c>
      <c r="Q20" s="68">
        <f t="shared" si="17"/>
        <v>128.73045405405406</v>
      </c>
      <c r="R20" s="68" t="s">
        <v>258</v>
      </c>
      <c r="S20" s="68" t="s">
        <v>259</v>
      </c>
      <c r="T20" s="68">
        <f t="shared" si="0"/>
        <v>12.873045405405406</v>
      </c>
      <c r="U20" s="68" t="s">
        <v>230</v>
      </c>
      <c r="V20" s="68" t="s">
        <v>198</v>
      </c>
      <c r="W20" s="68">
        <f t="shared" si="1"/>
        <v>127.24510266112267</v>
      </c>
      <c r="X20" s="68" t="s">
        <v>203</v>
      </c>
      <c r="Y20" s="68">
        <f t="shared" si="2"/>
        <v>0</v>
      </c>
      <c r="Z20" s="68" t="s">
        <v>209</v>
      </c>
      <c r="AA20" s="68" t="s">
        <v>208</v>
      </c>
      <c r="AB20" s="68">
        <f t="shared" si="3"/>
        <v>60.899407110187113</v>
      </c>
    </row>
    <row r="21" spans="1:28" s="68" customFormat="1">
      <c r="A21" s="68">
        <v>10996</v>
      </c>
      <c r="B21" s="68" t="s">
        <v>37</v>
      </c>
      <c r="C21" s="68">
        <v>23005</v>
      </c>
      <c r="D21" s="68">
        <v>968</v>
      </c>
      <c r="E21" s="68">
        <f t="shared" si="11"/>
        <v>23.765495867768596</v>
      </c>
      <c r="F21" s="68">
        <f t="shared" si="12"/>
        <v>14259.297520661157</v>
      </c>
      <c r="G21" s="68">
        <f t="shared" si="13"/>
        <v>1425929.7520661156</v>
      </c>
      <c r="H21" s="68">
        <v>100</v>
      </c>
      <c r="I21" s="68" t="s">
        <v>122</v>
      </c>
      <c r="J21" s="68">
        <f t="shared" si="14"/>
        <v>356482.4380165289</v>
      </c>
      <c r="K21" s="68" t="s">
        <v>142</v>
      </c>
      <c r="L21" s="68">
        <f t="shared" si="15"/>
        <v>185.37086776859502</v>
      </c>
      <c r="M21" s="68" t="s">
        <v>155</v>
      </c>
      <c r="N21" s="68">
        <f t="shared" si="16"/>
        <v>181.6634504132231</v>
      </c>
      <c r="O21" s="68" t="s">
        <v>163</v>
      </c>
      <c r="P21" s="68" t="s">
        <v>179</v>
      </c>
      <c r="Q21" s="68">
        <f t="shared" si="17"/>
        <v>30.030080578512393</v>
      </c>
      <c r="R21" s="68" t="s">
        <v>260</v>
      </c>
      <c r="S21" s="68" t="s">
        <v>261</v>
      </c>
      <c r="T21" s="68">
        <f t="shared" si="0"/>
        <v>3.7444915289256193</v>
      </c>
      <c r="U21" s="68" t="s">
        <v>100</v>
      </c>
      <c r="V21" s="68" t="s">
        <v>179</v>
      </c>
      <c r="W21" s="68">
        <f t="shared" si="1"/>
        <v>30.030080578512393</v>
      </c>
      <c r="X21" s="68" t="s">
        <v>203</v>
      </c>
      <c r="Y21" s="68">
        <f t="shared" si="2"/>
        <v>0</v>
      </c>
      <c r="Z21" s="68" t="s">
        <v>18</v>
      </c>
      <c r="AA21" s="68" t="s">
        <v>102</v>
      </c>
      <c r="AB21" s="68">
        <f t="shared" si="3"/>
        <v>26.137292355371894</v>
      </c>
    </row>
    <row r="22" spans="1:28" s="68" customFormat="1">
      <c r="A22" s="68">
        <v>10997</v>
      </c>
      <c r="B22" s="68" t="s">
        <v>37</v>
      </c>
      <c r="C22" s="68">
        <v>47733</v>
      </c>
      <c r="D22" s="68">
        <v>974</v>
      </c>
      <c r="E22" s="68">
        <f t="shared" si="11"/>
        <v>49.007186858316224</v>
      </c>
      <c r="F22" s="68">
        <f t="shared" si="12"/>
        <v>29404.312114989734</v>
      </c>
      <c r="G22" s="68">
        <f t="shared" si="13"/>
        <v>2940431.2114989734</v>
      </c>
      <c r="H22" s="68">
        <v>100</v>
      </c>
      <c r="I22" s="68" t="s">
        <v>123</v>
      </c>
      <c r="J22" s="68">
        <f t="shared" si="14"/>
        <v>817439.87679671473</v>
      </c>
      <c r="K22" s="68" t="s">
        <v>143</v>
      </c>
      <c r="L22" s="68">
        <f t="shared" si="15"/>
        <v>343.3247482546202</v>
      </c>
      <c r="M22" s="68" t="s">
        <v>156</v>
      </c>
      <c r="N22" s="68">
        <f t="shared" si="16"/>
        <v>338.17487703080087</v>
      </c>
      <c r="O22" s="68" t="s">
        <v>175</v>
      </c>
      <c r="P22" s="68" t="s">
        <v>190</v>
      </c>
      <c r="Q22" s="68">
        <f t="shared" si="17"/>
        <v>65.918351664887084</v>
      </c>
      <c r="R22" s="68" t="s">
        <v>262</v>
      </c>
      <c r="S22" s="68" t="s">
        <v>263</v>
      </c>
      <c r="T22" s="68">
        <f t="shared" si="0"/>
        <v>7.9308016846817262</v>
      </c>
      <c r="U22" s="68" t="s">
        <v>100</v>
      </c>
      <c r="V22" s="68" t="s">
        <v>190</v>
      </c>
      <c r="W22" s="68">
        <f t="shared" si="1"/>
        <v>65.918351664887084</v>
      </c>
      <c r="X22" s="68" t="s">
        <v>203</v>
      </c>
      <c r="Y22" s="68">
        <f t="shared" si="2"/>
        <v>0</v>
      </c>
      <c r="Z22" s="68" t="s">
        <v>175</v>
      </c>
      <c r="AA22" s="68" t="s">
        <v>190</v>
      </c>
      <c r="AB22" s="68">
        <f t="shared" si="3"/>
        <v>65.918351664887084</v>
      </c>
    </row>
    <row r="23" spans="1:28" s="68" customFormat="1">
      <c r="A23" s="68">
        <v>10989</v>
      </c>
      <c r="B23" s="68" t="s">
        <v>37</v>
      </c>
      <c r="C23" s="68">
        <v>12301</v>
      </c>
      <c r="D23" s="68">
        <v>964</v>
      </c>
      <c r="E23" s="68">
        <f t="shared" si="11"/>
        <v>12.760373443983402</v>
      </c>
      <c r="F23" s="68">
        <f t="shared" si="12"/>
        <v>7656.2240663900411</v>
      </c>
      <c r="G23" s="68">
        <f t="shared" si="13"/>
        <v>765622.40663900413</v>
      </c>
      <c r="H23" s="68">
        <v>100</v>
      </c>
      <c r="I23" s="68" t="s">
        <v>120</v>
      </c>
      <c r="J23" s="68">
        <f t="shared" si="14"/>
        <v>182983.75518672197</v>
      </c>
      <c r="K23" s="68" t="s">
        <v>13</v>
      </c>
      <c r="L23" s="68">
        <f t="shared" si="15"/>
        <v>201.2821307053942</v>
      </c>
      <c r="M23" s="68" t="s">
        <v>157</v>
      </c>
      <c r="N23" s="68">
        <f t="shared" si="16"/>
        <v>195.44494891493775</v>
      </c>
      <c r="O23" s="68" t="s">
        <v>176</v>
      </c>
      <c r="P23" s="68" t="s">
        <v>191</v>
      </c>
      <c r="Q23" s="68">
        <f t="shared" si="17"/>
        <v>25.562830599585062</v>
      </c>
      <c r="R23" s="68" t="s">
        <v>264</v>
      </c>
      <c r="S23" s="68" t="s">
        <v>265</v>
      </c>
      <c r="T23" s="68">
        <f t="shared" si="0"/>
        <v>11.634107154771783</v>
      </c>
      <c r="U23" s="68" t="s">
        <v>231</v>
      </c>
      <c r="V23" s="68" t="s">
        <v>199</v>
      </c>
      <c r="W23" s="68">
        <f t="shared" si="1"/>
        <v>24.355137815352698</v>
      </c>
      <c r="X23" s="68" t="s">
        <v>203</v>
      </c>
      <c r="Y23" s="68">
        <f t="shared" si="2"/>
        <v>0</v>
      </c>
      <c r="Z23" s="68" t="s">
        <v>210</v>
      </c>
      <c r="AA23" s="68" t="s">
        <v>220</v>
      </c>
      <c r="AB23" s="68">
        <f t="shared" si="3"/>
        <v>45.288479408713698</v>
      </c>
    </row>
    <row r="24" spans="1:28" s="68" customFormat="1">
      <c r="A24" s="68">
        <v>10990</v>
      </c>
      <c r="B24" s="68" t="s">
        <v>37</v>
      </c>
      <c r="C24" s="68">
        <v>21661</v>
      </c>
      <c r="D24" s="68">
        <v>974</v>
      </c>
      <c r="E24" s="68">
        <f t="shared" si="11"/>
        <v>22.239219712525667</v>
      </c>
      <c r="F24" s="68">
        <f t="shared" si="12"/>
        <v>13343.5318275154</v>
      </c>
      <c r="G24" s="68">
        <f t="shared" si="13"/>
        <v>1334353.1827515401</v>
      </c>
      <c r="H24" s="68">
        <v>100</v>
      </c>
      <c r="I24" s="68" t="s">
        <v>121</v>
      </c>
      <c r="J24" s="68">
        <f t="shared" si="14"/>
        <v>336257.0020533881</v>
      </c>
      <c r="K24" s="68" t="s">
        <v>129</v>
      </c>
      <c r="L24" s="68">
        <f t="shared" si="15"/>
        <v>504.38550308008217</v>
      </c>
      <c r="M24" s="68" t="s">
        <v>158</v>
      </c>
      <c r="N24" s="68">
        <f t="shared" si="16"/>
        <v>498.83726254620126</v>
      </c>
      <c r="O24" s="68" t="s">
        <v>22</v>
      </c>
      <c r="P24" s="68" t="s">
        <v>192</v>
      </c>
      <c r="Q24" s="68">
        <f t="shared" si="17"/>
        <v>62.543802381930192</v>
      </c>
      <c r="R24" s="68" t="s">
        <v>266</v>
      </c>
      <c r="S24" s="68" t="s">
        <v>267</v>
      </c>
      <c r="T24" s="68">
        <f t="shared" si="0"/>
        <v>26.076730509240249</v>
      </c>
      <c r="U24" s="68" t="s">
        <v>232</v>
      </c>
      <c r="V24" s="68" t="s">
        <v>199</v>
      </c>
      <c r="W24" s="68">
        <f t="shared" si="1"/>
        <v>61.030645872689938</v>
      </c>
      <c r="X24" s="68" t="s">
        <v>234</v>
      </c>
      <c r="Y24" s="68">
        <f t="shared" si="2"/>
        <v>1.4627179589322381</v>
      </c>
      <c r="Z24" s="68" t="s">
        <v>24</v>
      </c>
      <c r="AA24" s="68" t="s">
        <v>175</v>
      </c>
      <c r="AB24" s="68">
        <f t="shared" si="3"/>
        <v>98.355173100616028</v>
      </c>
    </row>
    <row r="25" spans="1:28" s="68" customFormat="1">
      <c r="A25" s="68">
        <v>10991</v>
      </c>
      <c r="B25" s="68" t="s">
        <v>37</v>
      </c>
      <c r="C25" s="68">
        <v>32110</v>
      </c>
      <c r="D25" s="68">
        <v>970</v>
      </c>
      <c r="E25" s="68">
        <f t="shared" si="11"/>
        <v>33.103092783505154</v>
      </c>
      <c r="F25" s="68">
        <f t="shared" si="12"/>
        <v>19861.855670103094</v>
      </c>
      <c r="G25" s="68">
        <f t="shared" si="13"/>
        <v>1986185.5670103093</v>
      </c>
      <c r="H25" s="68">
        <v>100</v>
      </c>
      <c r="I25" s="68" t="s">
        <v>16</v>
      </c>
      <c r="J25" s="68">
        <f t="shared" si="14"/>
        <v>516408.24742268043</v>
      </c>
      <c r="K25" s="68" t="s">
        <v>144</v>
      </c>
      <c r="L25" s="68">
        <f t="shared" si="15"/>
        <v>722.97154639175255</v>
      </c>
      <c r="M25" s="68" t="s">
        <v>159</v>
      </c>
      <c r="N25" s="68">
        <f t="shared" si="16"/>
        <v>716.46480247422676</v>
      </c>
      <c r="O25" s="68" t="s">
        <v>19</v>
      </c>
      <c r="P25" s="68" t="s">
        <v>193</v>
      </c>
      <c r="Q25" s="68">
        <f t="shared" si="17"/>
        <v>141.7024230927835</v>
      </c>
      <c r="R25" s="68" t="s">
        <v>268</v>
      </c>
      <c r="S25" s="68" t="s">
        <v>269</v>
      </c>
      <c r="T25" s="68">
        <f t="shared" si="0"/>
        <v>29.569536247422679</v>
      </c>
      <c r="U25" s="68" t="s">
        <v>233</v>
      </c>
      <c r="V25" s="68" t="s">
        <v>29</v>
      </c>
      <c r="W25" s="68">
        <f t="shared" si="1"/>
        <v>132.30379298969072</v>
      </c>
      <c r="X25" s="68" t="s">
        <v>203</v>
      </c>
      <c r="Y25" s="68">
        <f t="shared" si="2"/>
        <v>0</v>
      </c>
      <c r="Z25" s="68" t="s">
        <v>211</v>
      </c>
      <c r="AA25" s="68" t="s">
        <v>221</v>
      </c>
      <c r="AB25" s="68">
        <f t="shared" si="3"/>
        <v>146.04025237113402</v>
      </c>
    </row>
    <row r="26" spans="1:28">
      <c r="R26" s="68"/>
    </row>
    <row r="27" spans="1:28">
      <c r="R27" s="68"/>
    </row>
    <row r="28" spans="1:28">
      <c r="R28" s="6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3843F62446140B43087719AA3FA42" ma:contentTypeVersion="3" ma:contentTypeDescription="Create a new document." ma:contentTypeScope="" ma:versionID="a2b02d47afae1ddf391ae6527f3c4a21">
  <xsd:schema xmlns:xsd="http://www.w3.org/2001/XMLSchema" xmlns:xs="http://www.w3.org/2001/XMLSchema" xmlns:p="http://schemas.microsoft.com/office/2006/metadata/properties" xmlns:ns2="f3da9a27-8783-4f30-8e1f-ac4eaf480372" targetNamespace="http://schemas.microsoft.com/office/2006/metadata/properties" ma:root="true" ma:fieldsID="53f09811bc5b7618933efac4b9b5e9ea" ns2:_="">
    <xsd:import namespace="f3da9a27-8783-4f30-8e1f-ac4eaf480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9a27-8783-4f30-8e1f-ac4eaf480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7F440F-1A43-46A7-B9E0-910C25683832}"/>
</file>

<file path=customXml/itemProps2.xml><?xml version="1.0" encoding="utf-8"?>
<ds:datastoreItem xmlns:ds="http://schemas.openxmlformats.org/officeDocument/2006/customXml" ds:itemID="{F95478BE-A959-4365-8D6C-82D3076134CF}"/>
</file>

<file path=customXml/itemProps3.xml><?xml version="1.0" encoding="utf-8"?>
<ds:datastoreItem xmlns:ds="http://schemas.openxmlformats.org/officeDocument/2006/customXml" ds:itemID="{DF2059C4-AEC5-4475-879A-1AC6AB61B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Data dictionary</vt:lpstr>
      <vt:lpstr>Processed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Taylah Bennett</dc:creator>
  <cp:lastModifiedBy>Taylah Bennett</cp:lastModifiedBy>
  <dcterms:created xsi:type="dcterms:W3CDTF">2026-04-24T03:42:05Z</dcterms:created>
  <dcterms:modified xsi:type="dcterms:W3CDTF">2026-08-12T06:36:52Z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0x010100B683843F62446140B43087719AA3FA42</vt:lpwstr>
  </property>
</Properties>
</file>
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14" documentId="13_ncr:1_{260B6931-9A69-AD47-96A7-6DD4F97B07CB}" xr6:coauthVersionLast="47" xr6:coauthVersionMax="47" xr10:uidLastSave="{E3CDA41C-AD59-4052-8AAF-6B2AD9AF4C4D}"/>
  <bookViews>
    <workbookView xWindow="5760" yWindow="1840" windowWidth="34200" windowHeight="19720" firstSheet="2" xr2:uid="{715B3BFF-636C-194E-90D4-36818E15DA5F}"/>
  </bookViews>
  <sheets>
    <sheet name="Start here" sheetId="2" r:id="rId1"/>
    <sheet name="Dictionary" sheetId="7" r:id="rId2"/>
    <sheet name="Processed data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F2" i="8" s="1"/>
  <c r="G2" i="8" s="1"/>
  <c r="J2" i="8" s="1"/>
  <c r="L2" i="8" s="1"/>
  <c r="E3" i="8"/>
  <c r="F3" i="8" s="1"/>
  <c r="G3" i="8" s="1"/>
  <c r="J3" i="8" s="1"/>
  <c r="L3" i="8" s="1"/>
  <c r="E4" i="8"/>
  <c r="F4" i="8"/>
  <c r="G4" i="8"/>
  <c r="J4" i="8"/>
  <c r="L4" i="8" s="1"/>
  <c r="E5" i="8"/>
  <c r="F5" i="8"/>
  <c r="G5" i="8" s="1"/>
  <c r="J5" i="8" s="1"/>
  <c r="L5" i="8" s="1"/>
  <c r="T5" i="8" s="1"/>
  <c r="E6" i="8"/>
  <c r="F6" i="8" s="1"/>
  <c r="G6" i="8" s="1"/>
  <c r="J6" i="8" s="1"/>
  <c r="L6" i="8" s="1"/>
  <c r="E7" i="8"/>
  <c r="F7" i="8" s="1"/>
  <c r="G7" i="8" s="1"/>
  <c r="J7" i="8" s="1"/>
  <c r="L7" i="8" s="1"/>
  <c r="E8" i="8"/>
  <c r="F8" i="8"/>
  <c r="G8" i="8" s="1"/>
  <c r="J8" i="8" s="1"/>
  <c r="L8" i="8" s="1"/>
  <c r="E9" i="8"/>
  <c r="F9" i="8" s="1"/>
  <c r="G9" i="8" s="1"/>
  <c r="J9" i="8" s="1"/>
  <c r="L9" i="8" s="1"/>
  <c r="E10" i="8"/>
  <c r="F10" i="8" s="1"/>
  <c r="G10" i="8" s="1"/>
  <c r="J10" i="8" s="1"/>
  <c r="L10" i="8" s="1"/>
  <c r="E11" i="8"/>
  <c r="F11" i="8" s="1"/>
  <c r="G11" i="8" s="1"/>
  <c r="J11" i="8" s="1"/>
  <c r="L11" i="8" s="1"/>
  <c r="E12" i="8"/>
  <c r="F12" i="8" s="1"/>
  <c r="G12" i="8" s="1"/>
  <c r="J12" i="8" s="1"/>
  <c r="L12" i="8" s="1"/>
  <c r="E13" i="8"/>
  <c r="F13" i="8" s="1"/>
  <c r="G13" i="8" s="1"/>
  <c r="J13" i="8" s="1"/>
  <c r="L13" i="8" s="1"/>
  <c r="E14" i="8"/>
  <c r="F14" i="8"/>
  <c r="G14" i="8" s="1"/>
  <c r="J14" i="8" s="1"/>
  <c r="L14" i="8" s="1"/>
  <c r="E15" i="8"/>
  <c r="F15" i="8"/>
  <c r="G15" i="8"/>
  <c r="J15" i="8" s="1"/>
  <c r="L15" i="8" s="1"/>
  <c r="T15" i="8" s="1"/>
  <c r="E16" i="8"/>
  <c r="F16" i="8" s="1"/>
  <c r="G16" i="8" s="1"/>
  <c r="J16" i="8" s="1"/>
  <c r="L16" i="8" s="1"/>
  <c r="E17" i="8"/>
  <c r="F17" i="8" s="1"/>
  <c r="G17" i="8" s="1"/>
  <c r="J17" i="8" s="1"/>
  <c r="L17" i="8" s="1"/>
  <c r="E18" i="8"/>
  <c r="F18" i="8"/>
  <c r="G18" i="8" s="1"/>
  <c r="J18" i="8" s="1"/>
  <c r="L18" i="8" s="1"/>
  <c r="E19" i="8"/>
  <c r="F19" i="8" s="1"/>
  <c r="G19" i="8" s="1"/>
  <c r="J19" i="8" s="1"/>
  <c r="L19" i="8" s="1"/>
  <c r="E20" i="8"/>
  <c r="F20" i="8" s="1"/>
  <c r="G20" i="8" s="1"/>
  <c r="J20" i="8" s="1"/>
  <c r="L20" i="8" s="1"/>
  <c r="E21" i="8"/>
  <c r="F21" i="8" s="1"/>
  <c r="G21" i="8" s="1"/>
  <c r="J21" i="8" s="1"/>
  <c r="L21" i="8" s="1"/>
  <c r="E22" i="8"/>
  <c r="F22" i="8" s="1"/>
  <c r="G22" i="8" s="1"/>
  <c r="J22" i="8" s="1"/>
  <c r="L22" i="8" s="1"/>
  <c r="E23" i="8"/>
  <c r="F23" i="8" s="1"/>
  <c r="G23" i="8" s="1"/>
  <c r="J23" i="8" s="1"/>
  <c r="L23" i="8" s="1"/>
  <c r="E24" i="8"/>
  <c r="F24" i="8" s="1"/>
  <c r="G24" i="8" s="1"/>
  <c r="J24" i="8" s="1"/>
  <c r="L24" i="8" s="1"/>
  <c r="E25" i="8"/>
  <c r="F25" i="8"/>
  <c r="G25" i="8" s="1"/>
  <c r="J25" i="8" s="1"/>
  <c r="L25" i="8" s="1"/>
  <c r="T25" i="8" s="1"/>
  <c r="Y23" i="8" l="1"/>
  <c r="N23" i="8"/>
  <c r="Q23" i="8"/>
  <c r="W24" i="8"/>
  <c r="N24" i="8"/>
  <c r="W14" i="8"/>
  <c r="N14" i="8"/>
  <c r="Y13" i="8"/>
  <c r="N13" i="8"/>
  <c r="Q13" i="8"/>
  <c r="W4" i="8"/>
  <c r="N4" i="8"/>
  <c r="W20" i="8"/>
  <c r="N20" i="8"/>
  <c r="Q20" i="8"/>
  <c r="Y20" i="8"/>
  <c r="AB20" i="8"/>
  <c r="T20" i="8"/>
  <c r="Q6" i="8"/>
  <c r="W6" i="8"/>
  <c r="T6" i="8"/>
  <c r="Y6" i="8"/>
  <c r="N6" i="8"/>
  <c r="AB6" i="8"/>
  <c r="Q8" i="8"/>
  <c r="T8" i="8"/>
  <c r="N8" i="8"/>
  <c r="W8" i="8"/>
  <c r="Y8" i="8"/>
  <c r="AB8" i="8"/>
  <c r="N17" i="8"/>
  <c r="Q17" i="8"/>
  <c r="T17" i="8"/>
  <c r="W17" i="8"/>
  <c r="Y17" i="8"/>
  <c r="AB17" i="8"/>
  <c r="T11" i="8"/>
  <c r="W11" i="8"/>
  <c r="Y11" i="8"/>
  <c r="AB11" i="8"/>
  <c r="N11" i="8"/>
  <c r="Q11" i="8"/>
  <c r="N10" i="8"/>
  <c r="Y10" i="8"/>
  <c r="AB10" i="8"/>
  <c r="Q10" i="8"/>
  <c r="T10" i="8"/>
  <c r="W10" i="8"/>
  <c r="N9" i="8"/>
  <c r="AB9" i="8"/>
  <c r="Q9" i="8"/>
  <c r="T9" i="8"/>
  <c r="W9" i="8"/>
  <c r="Y9" i="8"/>
  <c r="Y3" i="8"/>
  <c r="AB3" i="8"/>
  <c r="Q3" i="8"/>
  <c r="T3" i="8"/>
  <c r="W3" i="8"/>
  <c r="N3" i="8"/>
  <c r="AB22" i="8"/>
  <c r="T22" i="8"/>
  <c r="W22" i="8"/>
  <c r="Y22" i="8"/>
  <c r="N22" i="8"/>
  <c r="Q22" i="8"/>
  <c r="Q16" i="8"/>
  <c r="W16" i="8"/>
  <c r="Y16" i="8"/>
  <c r="T16" i="8"/>
  <c r="AB16" i="8"/>
  <c r="N16" i="8"/>
  <c r="AB12" i="8"/>
  <c r="T12" i="8"/>
  <c r="W12" i="8"/>
  <c r="Y12" i="8"/>
  <c r="N12" i="8"/>
  <c r="Q12" i="8"/>
  <c r="N19" i="8"/>
  <c r="Q19" i="8"/>
  <c r="T19" i="8"/>
  <c r="W19" i="8"/>
  <c r="Y19" i="8"/>
  <c r="AB19" i="8"/>
  <c r="Q18" i="8"/>
  <c r="T18" i="8"/>
  <c r="N18" i="8"/>
  <c r="W18" i="8"/>
  <c r="Y18" i="8"/>
  <c r="AB18" i="8"/>
  <c r="N7" i="8"/>
  <c r="Q7" i="8"/>
  <c r="T7" i="8"/>
  <c r="W7" i="8"/>
  <c r="Y7" i="8"/>
  <c r="AB7" i="8"/>
  <c r="W21" i="8"/>
  <c r="T21" i="8"/>
  <c r="Y21" i="8"/>
  <c r="AB21" i="8"/>
  <c r="N21" i="8"/>
  <c r="Q21" i="8"/>
  <c r="AB2" i="8"/>
  <c r="Q2" i="8"/>
  <c r="W2" i="8"/>
  <c r="Y2" i="8"/>
  <c r="N2" i="8"/>
  <c r="T2" i="8"/>
  <c r="Q25" i="8"/>
  <c r="T24" i="8"/>
  <c r="W23" i="8"/>
  <c r="Q15" i="8"/>
  <c r="T14" i="8"/>
  <c r="W13" i="8"/>
  <c r="Q5" i="8"/>
  <c r="T4" i="8"/>
  <c r="N25" i="8"/>
  <c r="Q24" i="8"/>
  <c r="T23" i="8"/>
  <c r="N15" i="8"/>
  <c r="Q14" i="8"/>
  <c r="T13" i="8"/>
  <c r="N5" i="8"/>
  <c r="Q4" i="8"/>
  <c r="AB14" i="8"/>
  <c r="Y5" i="8"/>
  <c r="AB25" i="8"/>
  <c r="Y25" i="8"/>
  <c r="AB24" i="8"/>
  <c r="Y15" i="8"/>
  <c r="W25" i="8"/>
  <c r="Y24" i="8"/>
  <c r="AB23" i="8"/>
  <c r="W15" i="8"/>
  <c r="Y14" i="8"/>
  <c r="AB13" i="8"/>
  <c r="W5" i="8"/>
  <c r="Y4" i="8"/>
  <c r="AB15" i="8"/>
  <c r="AB5" i="8"/>
  <c r="AB4" i="8"/>
</calcChain>
</file>

<file path=xl/sharedStrings.xml><?xml version="1.0" encoding="utf-8"?>
<sst xmlns="http://schemas.openxmlformats.org/spreadsheetml/2006/main" count="434" uniqueCount="298">
  <si>
    <t>Experiment code:</t>
  </si>
  <si>
    <t>Syn.25.9</t>
  </si>
  <si>
    <t>Experiment date: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</si>
  <si>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</si>
  <si>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</si>
  <si>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</si>
  <si>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</si>
  <si>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</si>
  <si>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</si>
  <si>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</si>
  <si>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</si>
  <si>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</si>
  <si>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</si>
  <si>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</si>
  <si>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</si>
  <si>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IC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</si>
  <si>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</si>
  <si>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</si>
  <si>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</si>
  <si>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</si>
  <si>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</si>
  <si>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5 µL of cell pellet resuspension (total 100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</si>
  <si>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</si>
  <si>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</si>
  <si>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</si>
  <si>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</si>
  <si>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</si>
  <si>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</si>
  <si>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</si>
  <si>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</si>
  <si>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</si>
  <si>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</si>
  <si>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</si>
  <si>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</si>
  <si>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</si>
  <si>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</si>
  <si>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</si>
  <si>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</si>
  <si>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</si>
  <si>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</si>
  <si>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</si>
  <si>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</si>
  <si>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</si>
  <si>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</si>
  <si>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</si>
  <si>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</si>
  <si>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</si>
  <si>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</si>
  <si>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</si>
  <si>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</si>
  <si>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</si>
  <si>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</si>
  <si>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</si>
  <si>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</si>
  <si>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</si>
  <si>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</si>
  <si>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</si>
  <si>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</si>
  <si>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</si>
  <si>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</si>
  <si>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</si>
  <si>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</si>
  <si>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</si>
  <si>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</si>
  <si>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</si>
  <si>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memory)</t>
  </si>
  <si>
    <t>CD127+ PD-1+ CXCR5+ KLRG1- TFH like (% tetramer)</t>
  </si>
  <si>
    <t>Number of CXCR5+ PD-1+ CD127+ KLRG1- TFH like</t>
  </si>
  <si>
    <t>TCF1+ SLAMF6+ Tscm (% TCM)</t>
  </si>
  <si>
    <t>CD127+ KLRG1- TCF1+ SLAMF6+ Tscm (% tetramer)</t>
  </si>
  <si>
    <t>Number of CD127+ KLRG1- TCF1+ SLAMF6+ Tscm cells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</si>
  <si>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</si>
  <si>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</si>
  <si>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</si>
  <si>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</si>
  <si>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</si>
  <si>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0.13 %</t>
  </si>
  <si>
    <t>0.037 %</t>
  </si>
  <si>
    <t>95.5 %</t>
  </si>
  <si>
    <t>42.9 %</t>
  </si>
  <si>
    <t>40.9 %</t>
  </si>
  <si>
    <t>14.3 %</t>
  </si>
  <si>
    <t>13.6 %</t>
  </si>
  <si>
    <t>77.8 %</t>
  </si>
  <si>
    <t>31.8 %</t>
  </si>
  <si>
    <t>0 %</t>
  </si>
  <si>
    <t>0.085 %</t>
  </si>
  <si>
    <t>0.16 %</t>
  </si>
  <si>
    <t>95.3 %</t>
  </si>
  <si>
    <t>21.3 %</t>
  </si>
  <si>
    <t>20.3 %</t>
  </si>
  <si>
    <t>4.92 %</t>
  </si>
  <si>
    <t>4.69 %</t>
  </si>
  <si>
    <t>84.6 %</t>
  </si>
  <si>
    <t>17.2 %</t>
  </si>
  <si>
    <t>39.3 %</t>
  </si>
  <si>
    <t>37.5 %</t>
  </si>
  <si>
    <t>0.076 %</t>
  </si>
  <si>
    <t>0.091 %</t>
  </si>
  <si>
    <t>87.1 %</t>
  </si>
  <si>
    <t>40.7 %</t>
  </si>
  <si>
    <t>35.5 %</t>
  </si>
  <si>
    <t>7.41 %</t>
  </si>
  <si>
    <t>6.45 %</t>
  </si>
  <si>
    <t>81.8 %</t>
  </si>
  <si>
    <t>29.0 %</t>
  </si>
  <si>
    <t>18.5 %</t>
  </si>
  <si>
    <t>16.1 %</t>
  </si>
  <si>
    <t>TM</t>
  </si>
  <si>
    <t>0.24 %</t>
  </si>
  <si>
    <t>0.082 %</t>
  </si>
  <si>
    <t>75.0 %</t>
  </si>
  <si>
    <t>11.1 %</t>
  </si>
  <si>
    <t>8.33 %</t>
  </si>
  <si>
    <t>100 %</t>
  </si>
  <si>
    <t>22.2 %</t>
  </si>
  <si>
    <t>16.7 %</t>
  </si>
  <si>
    <t>0.019 %</t>
  </si>
  <si>
    <t>0.12 %</t>
  </si>
  <si>
    <t>94.6 %</t>
  </si>
  <si>
    <t>28.6 %</t>
  </si>
  <si>
    <t>27.0 %</t>
  </si>
  <si>
    <t>60.0 %</t>
  </si>
  <si>
    <t>16.2 %</t>
  </si>
  <si>
    <t>34.3 %</t>
  </si>
  <si>
    <t>32.4 %</t>
  </si>
  <si>
    <t>0.062 %</t>
  </si>
  <si>
    <t>90.5 %</t>
  </si>
  <si>
    <t>36.8 %</t>
  </si>
  <si>
    <t>33.3 %</t>
  </si>
  <si>
    <t>71.4 %</t>
  </si>
  <si>
    <t>23.8 %</t>
  </si>
  <si>
    <t>26.3 %</t>
  </si>
  <si>
    <t>TMd21</t>
  </si>
  <si>
    <t>0.46 %</t>
  </si>
  <si>
    <t>0.059 %</t>
  </si>
  <si>
    <t>92.9 %</t>
  </si>
  <si>
    <t>44.3 %</t>
  </si>
  <si>
    <t>41.1 %</t>
  </si>
  <si>
    <t>5.46 %</t>
  </si>
  <si>
    <t>5.08 %</t>
  </si>
  <si>
    <t>91.4 %</t>
  </si>
  <si>
    <t>37.6 %</t>
  </si>
  <si>
    <t>8.74 %</t>
  </si>
  <si>
    <t>8.12 %</t>
  </si>
  <si>
    <t>0.45 %</t>
  </si>
  <si>
    <t>0.053 %</t>
  </si>
  <si>
    <t>96.4 %</t>
  </si>
  <si>
    <t>47.2 %</t>
  </si>
  <si>
    <t>45.5 %</t>
  </si>
  <si>
    <t>4.63 %</t>
  </si>
  <si>
    <t>4.46 %</t>
  </si>
  <si>
    <t>98.0 %</t>
  </si>
  <si>
    <t>44.6 %</t>
  </si>
  <si>
    <t>0.44 %</t>
  </si>
  <si>
    <t>83.3 %</t>
  </si>
  <si>
    <t>48.0 %</t>
  </si>
  <si>
    <t>40.0 %</t>
  </si>
  <si>
    <t>4.00 %</t>
  </si>
  <si>
    <t>3.33 %</t>
  </si>
  <si>
    <t>91.7 %</t>
  </si>
  <si>
    <t>36.7 %</t>
  </si>
  <si>
    <t>16.0 %</t>
  </si>
  <si>
    <t>13.3 %</t>
  </si>
  <si>
    <t>1.58 %</t>
  </si>
  <si>
    <t>0.015 %</t>
  </si>
  <si>
    <t>83.9 %</t>
  </si>
  <si>
    <t>68.5 %</t>
  </si>
  <si>
    <t>57.5 %</t>
  </si>
  <si>
    <t>2.74 %</t>
  </si>
  <si>
    <t>2.30 %</t>
  </si>
  <si>
    <t>90.0 %</t>
  </si>
  <si>
    <t>51.7 %</t>
  </si>
  <si>
    <t>6.85 %</t>
  </si>
  <si>
    <t>5.75 %</t>
  </si>
  <si>
    <t>1.05 %</t>
  </si>
  <si>
    <t>0.021 %</t>
  </si>
  <si>
    <t>88.4 %</t>
  </si>
  <si>
    <t>50.0 %</t>
  </si>
  <si>
    <t>44.2 %</t>
  </si>
  <si>
    <t>4.76 %</t>
  </si>
  <si>
    <t>4.21 %</t>
  </si>
  <si>
    <t>88.1 %</t>
  </si>
  <si>
    <t>38.9 %</t>
  </si>
  <si>
    <t>13.1 %</t>
  </si>
  <si>
    <t>11.6 %</t>
  </si>
  <si>
    <t>0.37 %</t>
  </si>
  <si>
    <t>0.031 %</t>
  </si>
  <si>
    <t>91.3 %</t>
  </si>
  <si>
    <t>40.5 %</t>
  </si>
  <si>
    <t>37.0 %</t>
  </si>
  <si>
    <t>15.2 %</t>
  </si>
  <si>
    <t>SOL</t>
  </si>
  <si>
    <t>1.31 %</t>
  </si>
  <si>
    <t>0.032 %</t>
  </si>
  <si>
    <t>42.6 %</t>
  </si>
  <si>
    <t>37.1 %</t>
  </si>
  <si>
    <t>9.68 %</t>
  </si>
  <si>
    <t>95.7 %</t>
  </si>
  <si>
    <t>13.0 %</t>
  </si>
  <si>
    <t>11.3 %</t>
  </si>
  <si>
    <t>0.56 %</t>
  </si>
  <si>
    <t>0.025 %</t>
  </si>
  <si>
    <t>91.5 %</t>
  </si>
  <si>
    <t>51.2 %</t>
  </si>
  <si>
    <t>46.8 %</t>
  </si>
  <si>
    <t>8.14 %</t>
  </si>
  <si>
    <t>7.45 %</t>
  </si>
  <si>
    <t>44.7 %</t>
  </si>
  <si>
    <t>1.06 %</t>
  </si>
  <si>
    <t>0.42 %</t>
  </si>
  <si>
    <t>0.017 %</t>
  </si>
  <si>
    <t>92.1 %</t>
  </si>
  <si>
    <t>51.4 %</t>
  </si>
  <si>
    <t>47.4 %</t>
  </si>
  <si>
    <t>8.57 %</t>
  </si>
  <si>
    <t>7.89 %</t>
  </si>
  <si>
    <t>0.71 %</t>
  </si>
  <si>
    <t>0.014 %</t>
  </si>
  <si>
    <t>73.0 %</t>
  </si>
  <si>
    <t>55.6 %</t>
  </si>
  <si>
    <t>14.8 %</t>
  </si>
  <si>
    <t>10.8 %</t>
  </si>
  <si>
    <t>73.3 %</t>
  </si>
  <si>
    <t>29.7 %</t>
  </si>
  <si>
    <t>2.70 %</t>
  </si>
  <si>
    <t>5.41 %</t>
  </si>
  <si>
    <t>1.19 %</t>
  </si>
  <si>
    <t>93.3 %</t>
  </si>
  <si>
    <t>62.5 %</t>
  </si>
  <si>
    <t>58.3 %</t>
  </si>
  <si>
    <t>7.14 %</t>
  </si>
  <si>
    <t>6.67 %</t>
  </si>
  <si>
    <t>53.3 %</t>
  </si>
  <si>
    <t>1.79 %</t>
  </si>
  <si>
    <t>1.67 %</t>
  </si>
  <si>
    <t>1.00 %</t>
  </si>
  <si>
    <t>98.9 %</t>
  </si>
  <si>
    <t>62.8 %</t>
  </si>
  <si>
    <t>62.1 %</t>
  </si>
  <si>
    <t>3.49 %</t>
  </si>
  <si>
    <t>3.45 %</t>
  </si>
  <si>
    <t>88.9 %</t>
  </si>
  <si>
    <t>55.2 %</t>
  </si>
  <si>
    <t>6.98 %</t>
  </si>
  <si>
    <t>6.90 %</t>
  </si>
  <si>
    <t>IC</t>
  </si>
  <si>
    <t>1.71 %</t>
  </si>
  <si>
    <t>93.9 %</t>
  </si>
  <si>
    <t>39.7 %</t>
  </si>
  <si>
    <t>37.2 %</t>
  </si>
  <si>
    <t>5.98 %</t>
  </si>
  <si>
    <t>5.61 %</t>
  </si>
  <si>
    <t>91.8 %</t>
  </si>
  <si>
    <t>34.2 %</t>
  </si>
  <si>
    <t>25.5 %</t>
  </si>
  <si>
    <t>24.0 %</t>
  </si>
  <si>
    <t>1.86 %</t>
  </si>
  <si>
    <t>83.1 %</t>
  </si>
  <si>
    <t>40.8 %</t>
  </si>
  <si>
    <t>33.9 %</t>
  </si>
  <si>
    <t>2.04 %</t>
  </si>
  <si>
    <t>1.69 %</t>
  </si>
  <si>
    <t>80.0 %</t>
  </si>
  <si>
    <t>27.1 %</t>
  </si>
  <si>
    <t>34.7 %</t>
  </si>
  <si>
    <t>28.8 %</t>
  </si>
  <si>
    <t>1.95 %</t>
  </si>
  <si>
    <t>24.2 %</t>
  </si>
  <si>
    <t>12.1 %</t>
  </si>
  <si>
    <t>13.9 %</t>
  </si>
  <si>
    <t>4.09 %</t>
  </si>
  <si>
    <t>0.027 %</t>
  </si>
  <si>
    <t>36.5 %</t>
  </si>
  <si>
    <t>34.8 %</t>
  </si>
  <si>
    <t>4.55 %</t>
  </si>
  <si>
    <t>87.0 %</t>
  </si>
  <si>
    <t>30.3 %</t>
  </si>
  <si>
    <t>15.9 %</t>
  </si>
  <si>
    <t>2.90 %</t>
  </si>
  <si>
    <t>0.018 %</t>
  </si>
  <si>
    <t>90.7 %</t>
  </si>
  <si>
    <t>30.2 %</t>
  </si>
  <si>
    <t>7.69 %</t>
  </si>
  <si>
    <t>92.3 %</t>
  </si>
  <si>
    <t>27.9 %</t>
  </si>
  <si>
    <t>10.3 %</t>
  </si>
  <si>
    <t>9.30 %</t>
  </si>
  <si>
    <t>2.55 %</t>
  </si>
  <si>
    <t>93.0 %</t>
  </si>
  <si>
    <t>40.1 %</t>
  </si>
  <si>
    <t>37.3 %</t>
  </si>
  <si>
    <t>3.40 %</t>
  </si>
  <si>
    <t>3.16 %</t>
  </si>
  <si>
    <t>76.3 %</t>
  </si>
  <si>
    <t>28.5 %</t>
  </si>
  <si>
    <t>23.1 %</t>
  </si>
  <si>
    <t>21.5 %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</si>
</sst>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5" tint="0.39997558519241921"/>
      <name val="Helvetica"/>
      <family val="2"/>
    </font>
    <font>
      <sz val="12"/>
      <color theme="8" tint="0.39997558519241921"/>
      <name val="Helvetica"/>
      <family val="2"/>
    </font>
    <font>
      <sz val="12"/>
      <color theme="6" tint="0.39997558519241921"/>
      <name val="Helvetica"/>
      <family val="2"/>
    </font>
    <font>
      <b/>
      <i/>
      <sz val="12"/>
      <color theme="1"/>
      <name val="Helvetica"/>
      <family val="2"/>
    </font>
    <font>
      <b/>
      <i/>
      <sz val="12"/>
      <color theme="3" tint="0.499984740745262"/>
      <name val="Helvetica"/>
      <family val="2"/>
    </font>
    <font>
      <b/>
      <i/>
      <sz val="12"/>
      <color theme="5" tint="0.39997558519241921"/>
      <name val="Helvetica"/>
      <family val="2"/>
    </font>
    <font>
      <b/>
      <i/>
      <sz val="12"/>
      <color theme="6" tint="0.39997558519241921"/>
      <name val="Helvetica"/>
      <family val="2"/>
    </font>
    <font>
      <b/>
      <i/>
      <sz val="12"/>
      <color theme="8" tint="0.39997558519241921"/>
      <name val="Helvetica"/>
      <family val="2"/>
    </font>
    <font>
      <b/>
      <sz val="14"/>
      <color theme="1"/>
      <name val="Helvetica"/>
      <family val="2"/>
    </font>
    <font>
      <sz val="14"/>
      <color theme="1"/>
      <name val="Aptos Narrow"/>
      <family val="2"/>
      <scheme val="minor"/>
    </font>
    <font>
      <sz val="14"/>
      <color theme="3" tint="0.499984740745262"/>
      <name val="Helvetica"/>
      <family val="2"/>
    </font>
    <font>
      <sz val="14"/>
      <color theme="5" tint="0.39997558519241921"/>
      <name val="Helvetica"/>
      <family val="2"/>
    </font>
    <font>
      <sz val="14"/>
      <color theme="6" tint="0.39997558519241921"/>
      <name val="Helvetica"/>
      <family val="2"/>
    </font>
    <font>
      <sz val="14"/>
      <color theme="8" tint="0.39997558519241921"/>
      <name val="Helvetica"/>
      <family val="2"/>
    </font>
    <font>
      <sz val="14"/>
      <color theme="1"/>
      <name val="Helvetica"/>
      <family val="2"/>
    </font>
    <font>
      <sz val="16"/>
      <color theme="1"/>
      <name val="Helvetica"/>
      <family val="2"/>
    </font>
    <font>
      <sz val="12"/>
      <color rgb="FF0070C0"/>
      <name val="Helvetica"/>
      <family val="2"/>
    </font>
    <font>
      <b/>
      <sz val="14"/>
      <color theme="1"/>
      <name val="Aptos Narrow"/>
      <scheme val="minor"/>
    </font>
    <font>
      <sz val="14"/>
      <color theme="3" tint="0.499984740745262"/>
      <name val="Aptos Narrow"/>
      <family val="2"/>
      <scheme val="minor"/>
    </font>
    <font>
      <sz val="14"/>
      <color theme="5" tint="0.39997558519241921"/>
      <name val="Aptos Narrow"/>
      <family val="2"/>
      <scheme val="minor"/>
    </font>
    <font>
      <sz val="14"/>
      <color theme="6" tint="0.39997558519241921"/>
      <name val="Aptos Narrow"/>
      <family val="2"/>
      <scheme val="minor"/>
    </font>
    <font>
      <sz val="14"/>
      <color theme="8" tint="0.3999755851924192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13" fillId="0" borderId="0" xfId="0" applyFont="1"/>
    <xf numFmtId="0" fontId="18" fillId="0" borderId="7" xfId="0" applyFont="1" applyBorder="1"/>
    <xf numFmtId="0" fontId="18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0" xfId="0" applyFont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1" fillId="0" borderId="0" xfId="0" applyFont="1"/>
    <xf numFmtId="0" fontId="19" fillId="0" borderId="0" xfId="0" applyFo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2" fillId="0" borderId="16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14" fillId="0" borderId="15" xfId="0" applyFont="1" applyBorder="1" applyAlignment="1">
      <alignment horizontal="center" wrapText="1"/>
    </xf>
    <xf numFmtId="0" fontId="15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4" fillId="0" borderId="17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14" fontId="18" fillId="0" borderId="15" xfId="0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26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E7A3-42D3-2E40-8A34-BBE75F4EDA45}">
  <dimension ref="B2:F42"/>
  <sheetViews>
    <sheetView tabSelected="1" workbookViewId="0">
      <selection activeCell="D19" sqref="D19"/>
    </sheetView>
  </sheetViews>
  <sheetFormatPr defaultColWidth="10.875" defaultRowHeight="18.95"/>
  <cols>
    <col min="1" max="1" width="10.875" style="14"/>
    <col min="2" max="2" width="26.125" style="14" customWidth="1"/>
    <col min="3" max="3" width="23.5" style="14" customWidth="1"/>
    <col min="4" max="4" width="23.125" style="14" customWidth="1"/>
    <col min="5" max="5" width="10.875" style="14"/>
    <col min="6" max="6" width="23.625" style="14" customWidth="1"/>
    <col min="7" max="16384" width="10.875" style="14"/>
  </cols>
  <sheetData>
    <row r="2" spans="2:5">
      <c r="B2" s="70" t="s">
        <v>0</v>
      </c>
      <c r="C2" s="71" t="s">
        <v>1</v>
      </c>
    </row>
    <row r="3" spans="2:5">
      <c r="B3" s="70" t="s">
        <v>2</v>
      </c>
      <c r="C3" s="71">
        <v>46058</v>
      </c>
    </row>
    <row r="4" spans="2:5">
      <c r="B4" s="70" t="s">
        <v>3</v>
      </c>
      <c r="C4" s="70">
        <v>60</v>
      </c>
    </row>
    <row r="5" spans="2:5">
      <c r="B5" s="70" t="s">
        <v>4</v>
      </c>
      <c r="C5" s="70">
        <v>1</v>
      </c>
    </row>
    <row r="6" spans="2:5">
      <c r="B6" s="70" t="s">
        <v>5</v>
      </c>
      <c r="C6" s="70" t="s">
        <v>6</v>
      </c>
    </row>
    <row r="7" spans="2:5" ht="18.75"/>
    <row r="8" spans="2:5" ht="18.75">
      <c r="B8" s="73" t="s">
        <v>7</v>
      </c>
      <c r="C8" s="72" t="s">
        <v>8</v>
      </c>
      <c r="D8" s="41" t="s">
        <v>9</v>
      </c>
      <c r="E8" s="42" t="s">
        <v>10</v>
      </c>
    </row>
    <row r="9" spans="2:5" ht="20.25" customHeight="1">
      <c r="B9" s="49">
        <v>9985</v>
      </c>
      <c r="C9" s="49">
        <v>9985</v>
      </c>
      <c r="D9" s="47" t="s">
        <v>11</v>
      </c>
      <c r="E9" s="50" t="s">
        <v>12</v>
      </c>
    </row>
    <row r="10" spans="2:5" ht="20.25" customHeight="1">
      <c r="B10" s="51">
        <v>9986</v>
      </c>
      <c r="C10" s="51">
        <v>9986</v>
      </c>
      <c r="D10" s="43" t="s">
        <v>11</v>
      </c>
      <c r="E10" s="52" t="s">
        <v>12</v>
      </c>
    </row>
    <row r="11" spans="2:5" ht="20.25" customHeight="1">
      <c r="B11" s="51">
        <v>9987</v>
      </c>
      <c r="C11" s="51">
        <v>9987</v>
      </c>
      <c r="D11" s="43" t="s">
        <v>11</v>
      </c>
      <c r="E11" s="52" t="s">
        <v>12</v>
      </c>
    </row>
    <row r="12" spans="2:5" ht="20.25" customHeight="1">
      <c r="B12" s="51">
        <v>9988</v>
      </c>
      <c r="C12" s="51">
        <v>9988</v>
      </c>
      <c r="D12" s="43" t="s">
        <v>11</v>
      </c>
      <c r="E12" s="52" t="s">
        <v>12</v>
      </c>
    </row>
    <row r="13" spans="2:5" ht="20.25" customHeight="1">
      <c r="B13" s="51">
        <v>9989</v>
      </c>
      <c r="C13" s="51">
        <v>9989</v>
      </c>
      <c r="D13" s="43" t="s">
        <v>11</v>
      </c>
      <c r="E13" s="52" t="s">
        <v>12</v>
      </c>
    </row>
    <row r="14" spans="2:5" ht="20.25" customHeight="1">
      <c r="B14" s="53">
        <v>9990</v>
      </c>
      <c r="C14" s="53">
        <v>9990</v>
      </c>
      <c r="D14" s="48" t="s">
        <v>11</v>
      </c>
      <c r="E14" s="54" t="s">
        <v>12</v>
      </c>
    </row>
    <row r="15" spans="2:5" ht="18.75">
      <c r="B15" s="30">
        <v>9991</v>
      </c>
      <c r="C15" s="30">
        <v>9991</v>
      </c>
      <c r="D15" s="55" t="s">
        <v>13</v>
      </c>
      <c r="E15" s="56" t="s">
        <v>12</v>
      </c>
    </row>
    <row r="16" spans="2:5" ht="18.75">
      <c r="B16" s="31">
        <v>9992</v>
      </c>
      <c r="C16" s="31">
        <v>9992</v>
      </c>
      <c r="D16" s="44" t="s">
        <v>13</v>
      </c>
      <c r="E16" s="57" t="s">
        <v>12</v>
      </c>
    </row>
    <row r="17" spans="2:5" ht="18.75">
      <c r="B17" s="31">
        <v>9993</v>
      </c>
      <c r="C17" s="31">
        <v>9993</v>
      </c>
      <c r="D17" s="44" t="s">
        <v>13</v>
      </c>
      <c r="E17" s="57" t="s">
        <v>12</v>
      </c>
    </row>
    <row r="18" spans="2:5" ht="18.75">
      <c r="B18" s="31">
        <v>9994</v>
      </c>
      <c r="C18" s="31">
        <v>9994</v>
      </c>
      <c r="D18" s="44" t="s">
        <v>13</v>
      </c>
      <c r="E18" s="57" t="s">
        <v>12</v>
      </c>
    </row>
    <row r="19" spans="2:5" ht="18.75">
      <c r="B19" s="31">
        <v>9995</v>
      </c>
      <c r="C19" s="31">
        <v>9995</v>
      </c>
      <c r="D19" s="44" t="s">
        <v>13</v>
      </c>
      <c r="E19" s="57" t="s">
        <v>12</v>
      </c>
    </row>
    <row r="20" spans="2:5" ht="18.75">
      <c r="B20" s="32">
        <v>9996</v>
      </c>
      <c r="C20" s="32">
        <v>9996</v>
      </c>
      <c r="D20" s="58" t="s">
        <v>13</v>
      </c>
      <c r="E20" s="59" t="s">
        <v>12</v>
      </c>
    </row>
    <row r="21" spans="2:5" ht="18.75">
      <c r="B21" s="33">
        <v>9997</v>
      </c>
      <c r="C21" s="33">
        <v>9997</v>
      </c>
      <c r="D21" s="60" t="s">
        <v>14</v>
      </c>
      <c r="E21" s="61" t="s">
        <v>12</v>
      </c>
    </row>
    <row r="22" spans="2:5" ht="18.75">
      <c r="B22" s="34">
        <v>9998</v>
      </c>
      <c r="C22" s="34">
        <v>9998</v>
      </c>
      <c r="D22" s="45" t="s">
        <v>14</v>
      </c>
      <c r="E22" s="62" t="s">
        <v>12</v>
      </c>
    </row>
    <row r="23" spans="2:5" ht="18.75">
      <c r="B23" s="34">
        <v>9999</v>
      </c>
      <c r="C23" s="34">
        <v>9999</v>
      </c>
      <c r="D23" s="45" t="s">
        <v>14</v>
      </c>
      <c r="E23" s="62" t="s">
        <v>12</v>
      </c>
    </row>
    <row r="24" spans="2:5" ht="18.75">
      <c r="B24" s="34">
        <v>10000</v>
      </c>
      <c r="C24" s="34">
        <v>10000</v>
      </c>
      <c r="D24" s="45" t="s">
        <v>14</v>
      </c>
      <c r="E24" s="62" t="s">
        <v>12</v>
      </c>
    </row>
    <row r="25" spans="2:5" ht="18.75">
      <c r="B25" s="34">
        <v>10001</v>
      </c>
      <c r="C25" s="34">
        <v>10001</v>
      </c>
      <c r="D25" s="45" t="s">
        <v>14</v>
      </c>
      <c r="E25" s="62" t="s">
        <v>12</v>
      </c>
    </row>
    <row r="26" spans="2:5" ht="18.75">
      <c r="B26" s="35">
        <v>10002</v>
      </c>
      <c r="C26" s="35">
        <v>10002</v>
      </c>
      <c r="D26" s="63" t="s">
        <v>14</v>
      </c>
      <c r="E26" s="64" t="s">
        <v>12</v>
      </c>
    </row>
    <row r="27" spans="2:5" ht="18.75">
      <c r="B27" s="36">
        <v>10003</v>
      </c>
      <c r="C27" s="36">
        <v>10003</v>
      </c>
      <c r="D27" s="65" t="s">
        <v>15</v>
      </c>
      <c r="E27" s="66" t="s">
        <v>12</v>
      </c>
    </row>
    <row r="28" spans="2:5" ht="18.75">
      <c r="B28" s="37">
        <v>10004</v>
      </c>
      <c r="C28" s="37">
        <v>10004</v>
      </c>
      <c r="D28" s="46" t="s">
        <v>15</v>
      </c>
      <c r="E28" s="67" t="s">
        <v>12</v>
      </c>
    </row>
    <row r="29" spans="2:5" ht="18.75">
      <c r="B29" s="37">
        <v>10005</v>
      </c>
      <c r="C29" s="37">
        <v>10005</v>
      </c>
      <c r="D29" s="46" t="s">
        <v>15</v>
      </c>
      <c r="E29" s="67" t="s">
        <v>12</v>
      </c>
    </row>
    <row r="30" spans="2:5" ht="18.75">
      <c r="B30" s="37">
        <v>10006</v>
      </c>
      <c r="C30" s="37">
        <v>10006</v>
      </c>
      <c r="D30" s="46" t="s">
        <v>15</v>
      </c>
      <c r="E30" s="67" t="s">
        <v>12</v>
      </c>
    </row>
    <row r="31" spans="2:5" ht="18.75">
      <c r="B31" s="37">
        <v>10007</v>
      </c>
      <c r="C31" s="37">
        <v>10007</v>
      </c>
      <c r="D31" s="46" t="s">
        <v>15</v>
      </c>
      <c r="E31" s="67" t="s">
        <v>12</v>
      </c>
    </row>
    <row r="32" spans="2:5" ht="18.75">
      <c r="B32" s="38">
        <v>10008</v>
      </c>
      <c r="C32" s="38">
        <v>10008</v>
      </c>
      <c r="D32" s="68" t="s">
        <v>15</v>
      </c>
      <c r="E32" s="69" t="s">
        <v>12</v>
      </c>
    </row>
    <row r="33" spans="2:6" ht="18.75"/>
    <row r="34" spans="2:6">
      <c r="B34" s="15" t="s">
        <v>16</v>
      </c>
      <c r="C34" s="17"/>
    </row>
    <row r="35" spans="2:6">
      <c r="B35" s="18" t="s">
        <v>17</v>
      </c>
      <c r="C35" s="20"/>
    </row>
    <row r="36" spans="2:6">
      <c r="B36" s="18" t="s">
        <v>18</v>
      </c>
      <c r="C36" s="20"/>
    </row>
    <row r="37" spans="2:6" ht="20.100000000000001" thickBot="1">
      <c r="B37" s="21" t="s">
        <v>19</v>
      </c>
      <c r="C37" s="23"/>
    </row>
    <row r="38" spans="2:6" ht="20.100000000000001" thickBot="1"/>
    <row r="39" spans="2:6">
      <c r="B39" s="15" t="s">
        <v>20</v>
      </c>
      <c r="C39" s="16"/>
      <c r="D39" s="16"/>
      <c r="E39" s="16"/>
      <c r="F39" s="17"/>
    </row>
    <row r="40" spans="2:6">
      <c r="B40" s="18" t="s">
        <v>21</v>
      </c>
      <c r="C40" s="19"/>
      <c r="D40" s="19"/>
      <c r="E40" s="19"/>
      <c r="F40" s="20"/>
    </row>
    <row r="41" spans="2:6">
      <c r="B41" s="18" t="s">
        <v>22</v>
      </c>
      <c r="C41" s="19"/>
      <c r="D41" s="19"/>
      <c r="E41" s="19"/>
      <c r="F41" s="20"/>
    </row>
    <row r="42" spans="2:6" ht="20.100000000000001" thickBot="1">
      <c r="B42" s="21" t="s">
        <v>23</v>
      </c>
      <c r="C42" s="22"/>
      <c r="D42" s="22"/>
      <c r="E42" s="22"/>
      <c r="F42" s="2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33D9-E333-0348-ABB4-16AB6E23F936}">
  <dimension ref="B1:D14"/>
  <sheetViews>
    <sheetView workbookViewId="0">
      <selection activeCell="C28" sqref="C28"/>
    </sheetView>
  </sheetViews>
  <sheetFormatPr defaultColWidth="10.875" defaultRowHeight="15.95"/>
  <cols>
    <col min="1" max="1" width="10.875" style="13"/>
    <col min="2" max="2" width="29" style="13" customWidth="1"/>
    <col min="3" max="3" width="34.375" style="13" customWidth="1"/>
    <col min="4" max="4" width="99.625" style="13" customWidth="1"/>
    <col min="5" max="16384" width="10.875" style="13"/>
  </cols>
  <sheetData>
    <row r="1" spans="2:4" ht="21">
      <c r="B1" s="29" t="s">
        <v>24</v>
      </c>
    </row>
    <row r="2" spans="2:4">
      <c r="B2" s="28" t="s">
        <v>25</v>
      </c>
      <c r="C2" s="28" t="s">
        <v>26</v>
      </c>
      <c r="D2" s="28" t="s">
        <v>27</v>
      </c>
    </row>
    <row r="3" spans="2:4">
      <c r="B3" s="13" t="s">
        <v>28</v>
      </c>
      <c r="C3" s="13" t="s">
        <v>29</v>
      </c>
      <c r="D3" s="13" t="s">
        <v>30</v>
      </c>
    </row>
    <row r="4" spans="2:4">
      <c r="B4" s="13" t="s">
        <v>31</v>
      </c>
      <c r="C4" s="13" t="s">
        <v>32</v>
      </c>
      <c r="D4" s="13" t="s">
        <v>33</v>
      </c>
    </row>
    <row r="5" spans="2:4">
      <c r="C5" s="13" t="s">
        <v>34</v>
      </c>
      <c r="D5" s="13" t="s">
        <v>35</v>
      </c>
    </row>
    <row r="6" spans="2:4">
      <c r="C6" s="13" t="s">
        <v>36</v>
      </c>
      <c r="D6" s="13" t="s">
        <v>37</v>
      </c>
    </row>
    <row r="7" spans="2:4">
      <c r="C7" s="13" t="s">
        <v>38</v>
      </c>
      <c r="D7" s="13" t="s">
        <v>39</v>
      </c>
    </row>
    <row r="8" spans="2:4">
      <c r="C8" s="13" t="s">
        <v>40</v>
      </c>
      <c r="D8" s="13" t="s">
        <v>41</v>
      </c>
    </row>
    <row r="9" spans="2:4">
      <c r="C9" s="13" t="s">
        <v>42</v>
      </c>
      <c r="D9" s="13" t="s">
        <v>43</v>
      </c>
    </row>
    <row r="11" spans="2:4" ht="21">
      <c r="B11" s="29" t="s">
        <v>44</v>
      </c>
    </row>
    <row r="12" spans="2:4">
      <c r="B12" s="28" t="s">
        <v>45</v>
      </c>
      <c r="C12" s="28" t="s">
        <v>27</v>
      </c>
    </row>
    <row r="13" spans="2:4">
      <c r="B13" s="13" t="s">
        <v>46</v>
      </c>
      <c r="C13" s="13" t="s">
        <v>47</v>
      </c>
    </row>
    <row r="14" spans="2:4">
      <c r="B14" s="13" t="s">
        <v>48</v>
      </c>
      <c r="C14" s="13" t="s">
        <v>49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ACB8-F5DC-F844-9D31-CC94C069AF34}">
  <sheetPr>
    <pageSetUpPr fitToPage="1"/>
  </sheetPr>
  <dimension ref="A1:AB51"/>
  <sheetViews>
    <sheetView workbookViewId="0">
      <selection activeCell="AE16" sqref="AE16"/>
    </sheetView>
  </sheetViews>
  <sheetFormatPr defaultColWidth="10.875" defaultRowHeight="15.95"/>
  <cols>
    <col min="1" max="1" width="11" style="2" bestFit="1" customWidth="1"/>
    <col min="2" max="2" width="10.875" style="2"/>
    <col min="3" max="6" width="11" style="2" bestFit="1" customWidth="1"/>
    <col min="7" max="7" width="12.875" style="2" bestFit="1" customWidth="1"/>
    <col min="8" max="8" width="11" style="2" bestFit="1" customWidth="1"/>
    <col min="9" max="9" width="14.375" style="2" customWidth="1"/>
    <col min="10" max="10" width="11" style="2" bestFit="1" customWidth="1"/>
    <col min="11" max="11" width="10.875" style="2"/>
    <col min="12" max="12" width="11" style="2" bestFit="1" customWidth="1"/>
    <col min="13" max="13" width="12.125" style="2" customWidth="1"/>
    <col min="14" max="14" width="11" style="2" bestFit="1" customWidth="1"/>
    <col min="15" max="15" width="10.875" style="2"/>
    <col min="16" max="16" width="13.5" style="2" customWidth="1"/>
    <col min="17" max="17" width="11" style="2" bestFit="1" customWidth="1"/>
    <col min="18" max="19" width="10.875" style="2"/>
    <col min="20" max="20" width="11" style="2" bestFit="1" customWidth="1"/>
    <col min="21" max="22" width="10.875" style="2"/>
    <col min="23" max="23" width="11" style="2" bestFit="1" customWidth="1"/>
    <col min="24" max="24" width="10.875" style="2"/>
    <col min="25" max="25" width="11" style="2" bestFit="1" customWidth="1"/>
    <col min="26" max="27" width="10.875" style="2"/>
    <col min="28" max="28" width="11" style="2" bestFit="1" customWidth="1"/>
    <col min="29" max="16384" width="10.875" style="2"/>
  </cols>
  <sheetData>
    <row r="1" spans="1:28" s="1" customFormat="1" ht="135.94999999999999">
      <c r="A1" s="1" t="s">
        <v>7</v>
      </c>
      <c r="B1" s="1" t="s">
        <v>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8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 ht="20.100000000000001" customHeight="1">
      <c r="A2" s="39">
        <v>9985</v>
      </c>
      <c r="B2" s="40" t="s">
        <v>11</v>
      </c>
      <c r="C2" s="24">
        <v>870000</v>
      </c>
      <c r="D2" s="24">
        <v>969</v>
      </c>
      <c r="E2" s="4">
        <f>C2/D2</f>
        <v>897.83281733746128</v>
      </c>
      <c r="F2" s="4">
        <f>(150/5*20)*E2</f>
        <v>538699.69040247682</v>
      </c>
      <c r="G2" s="4">
        <f t="shared" ref="G2:G25" si="0">F2*H2</f>
        <v>53869969.040247679</v>
      </c>
      <c r="H2" s="4">
        <v>100</v>
      </c>
      <c r="I2" s="24" t="s">
        <v>76</v>
      </c>
      <c r="J2" s="4">
        <f>I2*G2</f>
        <v>70030.959752321985</v>
      </c>
      <c r="K2" s="13" t="s">
        <v>77</v>
      </c>
      <c r="L2" s="9">
        <f t="shared" ref="L2:L25" si="1">K2*J2</f>
        <v>25.911455108359135</v>
      </c>
      <c r="M2" s="13" t="s">
        <v>78</v>
      </c>
      <c r="N2" s="4">
        <f>M2*L2</f>
        <v>24.745439628482973</v>
      </c>
      <c r="O2" s="13" t="s">
        <v>79</v>
      </c>
      <c r="P2" s="13" t="s">
        <v>80</v>
      </c>
      <c r="Q2" s="4">
        <f t="shared" ref="Q2:Q25" si="2">P2*L2</f>
        <v>10.597785139318885</v>
      </c>
      <c r="R2" s="24" t="s">
        <v>81</v>
      </c>
      <c r="S2" s="24" t="s">
        <v>82</v>
      </c>
      <c r="T2" s="4">
        <f t="shared" ref="T2:T25" si="3">S2*L2</f>
        <v>3.5239578947368426</v>
      </c>
      <c r="U2" s="24" t="s">
        <v>83</v>
      </c>
      <c r="V2" s="24" t="s">
        <v>84</v>
      </c>
      <c r="W2" s="4">
        <f t="shared" ref="W2:W25" si="4">V2*L2</f>
        <v>8.2398427244582049</v>
      </c>
      <c r="X2" s="24" t="s">
        <v>85</v>
      </c>
      <c r="Y2" s="4">
        <f t="shared" ref="Y2:Y25" si="5">X2*L2</f>
        <v>0</v>
      </c>
      <c r="Z2" s="24" t="s">
        <v>81</v>
      </c>
      <c r="AA2" s="24" t="s">
        <v>82</v>
      </c>
      <c r="AB2" s="4">
        <f t="shared" ref="AB2:AB25" si="6">AA2*L2</f>
        <v>3.5239578947368426</v>
      </c>
    </row>
    <row r="3" spans="1:28" ht="20.100000000000001" customHeight="1">
      <c r="A3" s="39">
        <v>9986</v>
      </c>
      <c r="B3" s="40" t="s">
        <v>11</v>
      </c>
      <c r="C3" s="24">
        <v>840000</v>
      </c>
      <c r="D3" s="24">
        <v>991</v>
      </c>
      <c r="E3" s="4">
        <f t="shared" ref="E3:E25" si="7">C3/D3</f>
        <v>847.62865792129162</v>
      </c>
      <c r="F3" s="4">
        <f t="shared" ref="F3:F25" si="8">(150/5*20)*E3</f>
        <v>508577.19475277496</v>
      </c>
      <c r="G3" s="4">
        <f t="shared" si="0"/>
        <v>50857719.475277498</v>
      </c>
      <c r="H3" s="4">
        <v>100</v>
      </c>
      <c r="I3" s="24" t="s">
        <v>86</v>
      </c>
      <c r="J3" s="4">
        <f t="shared" ref="J3:J25" si="9">I3*G3</f>
        <v>43229.06155398587</v>
      </c>
      <c r="K3" s="13" t="s">
        <v>87</v>
      </c>
      <c r="L3" s="9">
        <f t="shared" si="1"/>
        <v>69.166498486377392</v>
      </c>
      <c r="M3" s="13" t="s">
        <v>88</v>
      </c>
      <c r="N3" s="4">
        <f t="shared" ref="N3:N25" si="10">M3*L3</f>
        <v>65.915673057517651</v>
      </c>
      <c r="O3" s="13" t="s">
        <v>89</v>
      </c>
      <c r="P3" s="13" t="s">
        <v>90</v>
      </c>
      <c r="Q3" s="4">
        <f t="shared" si="2"/>
        <v>14.040799192734612</v>
      </c>
      <c r="R3" s="24" t="s">
        <v>91</v>
      </c>
      <c r="S3" s="24" t="s">
        <v>92</v>
      </c>
      <c r="T3" s="4">
        <f t="shared" si="3"/>
        <v>3.2439087790110994</v>
      </c>
      <c r="U3" s="24" t="s">
        <v>93</v>
      </c>
      <c r="V3" s="24" t="s">
        <v>94</v>
      </c>
      <c r="W3" s="4">
        <f t="shared" si="4"/>
        <v>11.89663773965691</v>
      </c>
      <c r="X3" s="24" t="s">
        <v>85</v>
      </c>
      <c r="Y3" s="4">
        <f t="shared" si="5"/>
        <v>0</v>
      </c>
      <c r="Z3" s="24" t="s">
        <v>95</v>
      </c>
      <c r="AA3" s="24" t="s">
        <v>96</v>
      </c>
      <c r="AB3" s="4">
        <f t="shared" si="6"/>
        <v>25.93743693239152</v>
      </c>
    </row>
    <row r="4" spans="1:28" ht="20.100000000000001" customHeight="1">
      <c r="A4" s="39">
        <v>9987</v>
      </c>
      <c r="B4" s="40" t="s">
        <v>11</v>
      </c>
      <c r="C4" s="24">
        <v>1310000</v>
      </c>
      <c r="D4" s="24">
        <v>702</v>
      </c>
      <c r="E4" s="4">
        <f t="shared" si="7"/>
        <v>1866.0968660968661</v>
      </c>
      <c r="F4" s="4">
        <f t="shared" si="8"/>
        <v>1119658.1196581197</v>
      </c>
      <c r="G4" s="4">
        <f t="shared" si="0"/>
        <v>111965811.96581197</v>
      </c>
      <c r="H4" s="4">
        <v>100</v>
      </c>
      <c r="I4" s="24" t="s">
        <v>97</v>
      </c>
      <c r="J4" s="4">
        <f t="shared" si="9"/>
        <v>85094.017094017094</v>
      </c>
      <c r="K4" s="13" t="s">
        <v>98</v>
      </c>
      <c r="L4" s="9">
        <f t="shared" si="1"/>
        <v>77.435555555555553</v>
      </c>
      <c r="M4" s="13" t="s">
        <v>99</v>
      </c>
      <c r="N4" s="4">
        <f t="shared" si="10"/>
        <v>67.446368888888884</v>
      </c>
      <c r="O4" s="13" t="s">
        <v>100</v>
      </c>
      <c r="P4" s="13" t="s">
        <v>101</v>
      </c>
      <c r="Q4" s="4">
        <f t="shared" si="2"/>
        <v>27.48962222222222</v>
      </c>
      <c r="R4" s="24" t="s">
        <v>102</v>
      </c>
      <c r="S4" s="24" t="s">
        <v>103</v>
      </c>
      <c r="T4" s="4">
        <f t="shared" si="3"/>
        <v>4.9945933333333334</v>
      </c>
      <c r="U4" s="24" t="s">
        <v>104</v>
      </c>
      <c r="V4" s="24" t="s">
        <v>105</v>
      </c>
      <c r="W4" s="4">
        <f t="shared" si="4"/>
        <v>22.456311111111109</v>
      </c>
      <c r="X4" s="24" t="s">
        <v>85</v>
      </c>
      <c r="Y4" s="4">
        <f t="shared" si="5"/>
        <v>0</v>
      </c>
      <c r="Z4" s="24" t="s">
        <v>106</v>
      </c>
      <c r="AA4" s="24" t="s">
        <v>107</v>
      </c>
      <c r="AB4" s="4">
        <f t="shared" si="6"/>
        <v>12.467124444444444</v>
      </c>
    </row>
    <row r="5" spans="1:28" ht="20.100000000000001" customHeight="1">
      <c r="A5" s="39">
        <v>9988</v>
      </c>
      <c r="B5" s="40" t="s">
        <v>108</v>
      </c>
      <c r="C5" s="24">
        <v>810000</v>
      </c>
      <c r="D5" s="24">
        <v>1032</v>
      </c>
      <c r="E5" s="4">
        <f t="shared" si="7"/>
        <v>784.88372093023258</v>
      </c>
      <c r="F5" s="4">
        <f t="shared" si="8"/>
        <v>470930.23255813954</v>
      </c>
      <c r="G5" s="4">
        <f t="shared" si="0"/>
        <v>47093023.255813956</v>
      </c>
      <c r="H5" s="4">
        <v>100</v>
      </c>
      <c r="I5" s="24" t="s">
        <v>109</v>
      </c>
      <c r="J5" s="4">
        <f t="shared" si="9"/>
        <v>113023.25581395348</v>
      </c>
      <c r="K5" s="13" t="s">
        <v>110</v>
      </c>
      <c r="L5" s="9">
        <f t="shared" si="1"/>
        <v>92.67906976744186</v>
      </c>
      <c r="M5" s="13" t="s">
        <v>111</v>
      </c>
      <c r="N5" s="4">
        <f t="shared" si="10"/>
        <v>69.509302325581388</v>
      </c>
      <c r="O5" s="13" t="s">
        <v>112</v>
      </c>
      <c r="P5" s="13" t="s">
        <v>113</v>
      </c>
      <c r="Q5" s="4">
        <f t="shared" si="2"/>
        <v>7.720166511627907</v>
      </c>
      <c r="R5" s="24" t="s">
        <v>112</v>
      </c>
      <c r="S5" s="24" t="s">
        <v>113</v>
      </c>
      <c r="T5" s="4">
        <f t="shared" si="3"/>
        <v>7.720166511627907</v>
      </c>
      <c r="U5" s="24" t="s">
        <v>114</v>
      </c>
      <c r="V5" s="24" t="s">
        <v>113</v>
      </c>
      <c r="W5" s="4">
        <f t="shared" si="4"/>
        <v>7.720166511627907</v>
      </c>
      <c r="X5" s="24" t="s">
        <v>113</v>
      </c>
      <c r="Y5" s="4">
        <f t="shared" si="5"/>
        <v>7.720166511627907</v>
      </c>
      <c r="Z5" s="24" t="s">
        <v>115</v>
      </c>
      <c r="AA5" s="24" t="s">
        <v>116</v>
      </c>
      <c r="AB5" s="4">
        <f t="shared" si="6"/>
        <v>15.477404651162791</v>
      </c>
    </row>
    <row r="6" spans="1:28" ht="20.100000000000001" customHeight="1">
      <c r="A6" s="39">
        <v>9989</v>
      </c>
      <c r="B6" s="40" t="s">
        <v>11</v>
      </c>
      <c r="C6" s="24">
        <v>988000</v>
      </c>
      <c r="D6" s="24">
        <v>881</v>
      </c>
      <c r="E6" s="4">
        <f t="shared" si="7"/>
        <v>1121.4528944381384</v>
      </c>
      <c r="F6" s="4">
        <f t="shared" si="8"/>
        <v>672871.73666288308</v>
      </c>
      <c r="G6" s="4">
        <f t="shared" si="0"/>
        <v>67287173.666288301</v>
      </c>
      <c r="H6" s="4">
        <v>100</v>
      </c>
      <c r="I6" s="24" t="s">
        <v>117</v>
      </c>
      <c r="J6" s="4">
        <f t="shared" si="9"/>
        <v>12784.562996594777</v>
      </c>
      <c r="K6" s="13" t="s">
        <v>118</v>
      </c>
      <c r="L6" s="9">
        <f t="shared" si="1"/>
        <v>15.341475595913732</v>
      </c>
      <c r="M6" s="13" t="s">
        <v>119</v>
      </c>
      <c r="N6" s="4">
        <f t="shared" si="10"/>
        <v>14.51303591373439</v>
      </c>
      <c r="O6" s="13" t="s">
        <v>120</v>
      </c>
      <c r="P6" s="13" t="s">
        <v>121</v>
      </c>
      <c r="Q6" s="4">
        <f t="shared" si="2"/>
        <v>4.1421984108967083</v>
      </c>
      <c r="R6" s="24" t="s">
        <v>85</v>
      </c>
      <c r="S6" s="24" t="s">
        <v>85</v>
      </c>
      <c r="T6" s="4">
        <f t="shared" si="3"/>
        <v>0</v>
      </c>
      <c r="U6" s="24" t="s">
        <v>122</v>
      </c>
      <c r="V6" s="24" t="s">
        <v>123</v>
      </c>
      <c r="W6" s="4">
        <f t="shared" si="4"/>
        <v>2.4853190465380246</v>
      </c>
      <c r="X6" s="24" t="s">
        <v>85</v>
      </c>
      <c r="Y6" s="4">
        <f t="shared" si="5"/>
        <v>0</v>
      </c>
      <c r="Z6" s="24" t="s">
        <v>124</v>
      </c>
      <c r="AA6" s="24" t="s">
        <v>125</v>
      </c>
      <c r="AB6" s="4">
        <f t="shared" si="6"/>
        <v>4.9706380930760492</v>
      </c>
    </row>
    <row r="7" spans="1:28" ht="20.100000000000001" customHeight="1">
      <c r="A7" s="39">
        <v>9990</v>
      </c>
      <c r="B7" s="40" t="s">
        <v>11</v>
      </c>
      <c r="C7" s="24">
        <v>951000</v>
      </c>
      <c r="D7" s="24">
        <v>839</v>
      </c>
      <c r="E7" s="4">
        <f t="shared" si="7"/>
        <v>1133.4922526817641</v>
      </c>
      <c r="F7" s="4">
        <f t="shared" si="8"/>
        <v>680095.35160905845</v>
      </c>
      <c r="G7" s="4">
        <f t="shared" si="0"/>
        <v>68009535.160905838</v>
      </c>
      <c r="H7" s="4">
        <v>100</v>
      </c>
      <c r="I7" s="24" t="s">
        <v>118</v>
      </c>
      <c r="J7" s="4">
        <f t="shared" si="9"/>
        <v>81611.442193087001</v>
      </c>
      <c r="K7" s="13" t="s">
        <v>126</v>
      </c>
      <c r="L7" s="9">
        <f t="shared" si="1"/>
        <v>50.599094159713943</v>
      </c>
      <c r="M7" s="13" t="s">
        <v>127</v>
      </c>
      <c r="N7" s="4">
        <f t="shared" si="10"/>
        <v>45.792180214541119</v>
      </c>
      <c r="O7" s="13" t="s">
        <v>128</v>
      </c>
      <c r="P7" s="13" t="s">
        <v>129</v>
      </c>
      <c r="Q7" s="4">
        <f t="shared" si="2"/>
        <v>16.849498355184743</v>
      </c>
      <c r="R7" s="24" t="s">
        <v>85</v>
      </c>
      <c r="S7" s="24" t="s">
        <v>85</v>
      </c>
      <c r="T7" s="4">
        <f t="shared" si="3"/>
        <v>0</v>
      </c>
      <c r="U7" s="24" t="s">
        <v>130</v>
      </c>
      <c r="V7" s="24" t="s">
        <v>131</v>
      </c>
      <c r="W7" s="4">
        <f t="shared" si="4"/>
        <v>12.042584410011917</v>
      </c>
      <c r="X7" s="24" t="s">
        <v>85</v>
      </c>
      <c r="Y7" s="4">
        <f t="shared" si="5"/>
        <v>0</v>
      </c>
      <c r="Z7" s="24" t="s">
        <v>132</v>
      </c>
      <c r="AA7" s="24" t="s">
        <v>131</v>
      </c>
      <c r="AB7" s="4">
        <f t="shared" si="6"/>
        <v>12.042584410011917</v>
      </c>
    </row>
    <row r="8" spans="1:28" s="5" customFormat="1" ht="20.100000000000001" customHeight="1">
      <c r="A8" s="5">
        <v>9991</v>
      </c>
      <c r="B8" s="5" t="s">
        <v>133</v>
      </c>
      <c r="C8" s="25">
        <v>389389</v>
      </c>
      <c r="D8" s="25">
        <v>713</v>
      </c>
      <c r="E8" s="5">
        <f t="shared" si="7"/>
        <v>546.12762973352028</v>
      </c>
      <c r="F8" s="5">
        <f t="shared" si="8"/>
        <v>327676.57784011215</v>
      </c>
      <c r="G8" s="5">
        <f t="shared" si="0"/>
        <v>32767657.784011215</v>
      </c>
      <c r="H8" s="5">
        <v>100</v>
      </c>
      <c r="I8" s="25" t="s">
        <v>134</v>
      </c>
      <c r="J8" s="5">
        <f t="shared" si="9"/>
        <v>150731.22580645158</v>
      </c>
      <c r="K8" s="25" t="s">
        <v>135</v>
      </c>
      <c r="L8" s="10">
        <f t="shared" si="1"/>
        <v>88.931423225806441</v>
      </c>
      <c r="M8" s="25" t="s">
        <v>136</v>
      </c>
      <c r="N8" s="5">
        <f t="shared" si="10"/>
        <v>82.617292176774185</v>
      </c>
      <c r="O8" s="25" t="s">
        <v>137</v>
      </c>
      <c r="P8" s="25" t="s">
        <v>138</v>
      </c>
      <c r="Q8" s="5">
        <f t="shared" si="2"/>
        <v>36.550814945806444</v>
      </c>
      <c r="R8" s="25" t="s">
        <v>139</v>
      </c>
      <c r="S8" s="25" t="s">
        <v>140</v>
      </c>
      <c r="T8" s="5">
        <f t="shared" si="3"/>
        <v>4.5177162998709672</v>
      </c>
      <c r="U8" s="25" t="s">
        <v>141</v>
      </c>
      <c r="V8" s="25" t="s">
        <v>142</v>
      </c>
      <c r="W8" s="5">
        <f t="shared" si="4"/>
        <v>33.438215132903224</v>
      </c>
      <c r="X8" s="25" t="s">
        <v>85</v>
      </c>
      <c r="Y8" s="5">
        <f t="shared" si="5"/>
        <v>0</v>
      </c>
      <c r="Z8" s="25" t="s">
        <v>143</v>
      </c>
      <c r="AA8" s="25" t="s">
        <v>144</v>
      </c>
      <c r="AB8" s="5">
        <f t="shared" si="6"/>
        <v>7.2212315659354829</v>
      </c>
    </row>
    <row r="9" spans="1:28" s="5" customFormat="1" ht="20.100000000000001" customHeight="1">
      <c r="A9" s="5">
        <v>9992</v>
      </c>
      <c r="B9" s="5" t="s">
        <v>133</v>
      </c>
      <c r="C9" s="25">
        <v>331323</v>
      </c>
      <c r="D9" s="25">
        <v>983</v>
      </c>
      <c r="E9" s="5">
        <f t="shared" si="7"/>
        <v>337.05289928789421</v>
      </c>
      <c r="F9" s="5">
        <f t="shared" si="8"/>
        <v>202231.73957273652</v>
      </c>
      <c r="G9" s="5">
        <f t="shared" si="0"/>
        <v>20223173.957273651</v>
      </c>
      <c r="H9" s="5">
        <v>100</v>
      </c>
      <c r="I9" s="25" t="s">
        <v>145</v>
      </c>
      <c r="J9" s="5">
        <f t="shared" si="9"/>
        <v>91004.282807731419</v>
      </c>
      <c r="K9" s="25" t="s">
        <v>146</v>
      </c>
      <c r="L9" s="10">
        <f t="shared" si="1"/>
        <v>48.232269888097647</v>
      </c>
      <c r="M9" s="25" t="s">
        <v>147</v>
      </c>
      <c r="N9" s="5">
        <f t="shared" si="10"/>
        <v>46.495908172126128</v>
      </c>
      <c r="O9" s="25" t="s">
        <v>148</v>
      </c>
      <c r="P9" s="25" t="s">
        <v>149</v>
      </c>
      <c r="Q9" s="5">
        <f t="shared" si="2"/>
        <v>21.94568279908443</v>
      </c>
      <c r="R9" s="25" t="s">
        <v>150</v>
      </c>
      <c r="S9" s="25" t="s">
        <v>151</v>
      </c>
      <c r="T9" s="5">
        <f t="shared" si="3"/>
        <v>2.1511592370091552</v>
      </c>
      <c r="U9" s="25" t="s">
        <v>152</v>
      </c>
      <c r="V9" s="25" t="s">
        <v>153</v>
      </c>
      <c r="W9" s="5">
        <f t="shared" si="4"/>
        <v>21.511592370091552</v>
      </c>
      <c r="X9" s="25" t="s">
        <v>85</v>
      </c>
      <c r="Y9" s="5">
        <f t="shared" si="5"/>
        <v>0</v>
      </c>
      <c r="Z9" s="25" t="s">
        <v>116</v>
      </c>
      <c r="AA9" s="25" t="s">
        <v>107</v>
      </c>
      <c r="AB9" s="5">
        <f t="shared" si="6"/>
        <v>7.7653954519837214</v>
      </c>
    </row>
    <row r="10" spans="1:28" s="5" customFormat="1" ht="20.100000000000001" customHeight="1">
      <c r="A10" s="5">
        <v>9993</v>
      </c>
      <c r="B10" s="5" t="s">
        <v>133</v>
      </c>
      <c r="C10" s="25">
        <v>307968</v>
      </c>
      <c r="D10" s="25">
        <v>887</v>
      </c>
      <c r="E10" s="5">
        <f t="shared" si="7"/>
        <v>347.20180383314545</v>
      </c>
      <c r="F10" s="5">
        <f t="shared" si="8"/>
        <v>208321.08229988726</v>
      </c>
      <c r="G10" s="5">
        <f t="shared" si="0"/>
        <v>20832108.229988728</v>
      </c>
      <c r="H10" s="5">
        <v>100</v>
      </c>
      <c r="I10" s="25" t="s">
        <v>154</v>
      </c>
      <c r="J10" s="5">
        <f t="shared" si="9"/>
        <v>91661.276211950404</v>
      </c>
      <c r="K10" s="25" t="s">
        <v>117</v>
      </c>
      <c r="L10" s="10">
        <f t="shared" si="1"/>
        <v>17.415642480270577</v>
      </c>
      <c r="M10" s="25" t="s">
        <v>155</v>
      </c>
      <c r="N10" s="5">
        <f t="shared" si="10"/>
        <v>14.50723018606539</v>
      </c>
      <c r="O10" s="25" t="s">
        <v>156</v>
      </c>
      <c r="P10" s="25" t="s">
        <v>157</v>
      </c>
      <c r="Q10" s="5">
        <f t="shared" si="2"/>
        <v>6.9662569921082316</v>
      </c>
      <c r="R10" s="25" t="s">
        <v>158</v>
      </c>
      <c r="S10" s="25" t="s">
        <v>159</v>
      </c>
      <c r="T10" s="5">
        <f t="shared" si="3"/>
        <v>0.57994089459301024</v>
      </c>
      <c r="U10" s="25" t="s">
        <v>160</v>
      </c>
      <c r="V10" s="25" t="s">
        <v>161</v>
      </c>
      <c r="W10" s="5">
        <f t="shared" si="4"/>
        <v>6.3915407902593016</v>
      </c>
      <c r="X10" s="25" t="s">
        <v>85</v>
      </c>
      <c r="Y10" s="5">
        <f t="shared" si="5"/>
        <v>0</v>
      </c>
      <c r="Z10" s="25" t="s">
        <v>162</v>
      </c>
      <c r="AA10" s="25" t="s">
        <v>163</v>
      </c>
      <c r="AB10" s="5">
        <f t="shared" si="6"/>
        <v>2.316280449875987</v>
      </c>
    </row>
    <row r="11" spans="1:28" s="5" customFormat="1" ht="20.100000000000001" customHeight="1">
      <c r="A11" s="5">
        <v>9994</v>
      </c>
      <c r="B11" s="5" t="s">
        <v>133</v>
      </c>
      <c r="C11" s="25">
        <v>313052</v>
      </c>
      <c r="D11" s="25">
        <v>911</v>
      </c>
      <c r="E11" s="5">
        <f t="shared" si="7"/>
        <v>343.63556531284303</v>
      </c>
      <c r="F11" s="5">
        <f t="shared" si="8"/>
        <v>206181.33918770583</v>
      </c>
      <c r="G11" s="5">
        <f t="shared" si="0"/>
        <v>20618133.918770581</v>
      </c>
      <c r="H11" s="5">
        <v>100</v>
      </c>
      <c r="I11" s="25" t="s">
        <v>164</v>
      </c>
      <c r="J11" s="5">
        <f t="shared" si="9"/>
        <v>325766.51591657521</v>
      </c>
      <c r="K11" s="25" t="s">
        <v>165</v>
      </c>
      <c r="L11" s="10">
        <f t="shared" si="1"/>
        <v>48.864977387486277</v>
      </c>
      <c r="M11" s="25" t="s">
        <v>166</v>
      </c>
      <c r="N11" s="5">
        <f t="shared" si="10"/>
        <v>40.997716028100989</v>
      </c>
      <c r="O11" s="25" t="s">
        <v>167</v>
      </c>
      <c r="P11" s="25" t="s">
        <v>168</v>
      </c>
      <c r="Q11" s="5">
        <f t="shared" si="2"/>
        <v>28.097361997804608</v>
      </c>
      <c r="R11" s="25" t="s">
        <v>169</v>
      </c>
      <c r="S11" s="25" t="s">
        <v>170</v>
      </c>
      <c r="T11" s="5">
        <f t="shared" si="3"/>
        <v>1.1238944799121844</v>
      </c>
      <c r="U11" s="25" t="s">
        <v>171</v>
      </c>
      <c r="V11" s="25" t="s">
        <v>172</v>
      </c>
      <c r="W11" s="5">
        <f t="shared" si="4"/>
        <v>25.263193309330408</v>
      </c>
      <c r="X11" s="25" t="s">
        <v>85</v>
      </c>
      <c r="Y11" s="5">
        <f t="shared" si="5"/>
        <v>0</v>
      </c>
      <c r="Z11" s="25" t="s">
        <v>173</v>
      </c>
      <c r="AA11" s="25" t="s">
        <v>174</v>
      </c>
      <c r="AB11" s="5">
        <f t="shared" si="6"/>
        <v>2.8097361997804611</v>
      </c>
    </row>
    <row r="12" spans="1:28" s="5" customFormat="1" ht="20.100000000000001" customHeight="1">
      <c r="A12" s="5">
        <v>9995</v>
      </c>
      <c r="B12" s="5" t="s">
        <v>133</v>
      </c>
      <c r="C12" s="25">
        <v>333396</v>
      </c>
      <c r="D12" s="25">
        <v>981</v>
      </c>
      <c r="E12" s="5">
        <f t="shared" si="7"/>
        <v>339.85321100917429</v>
      </c>
      <c r="F12" s="5">
        <f t="shared" si="8"/>
        <v>203911.92660550456</v>
      </c>
      <c r="G12" s="5">
        <f t="shared" si="0"/>
        <v>20391192.660550456</v>
      </c>
      <c r="H12" s="5">
        <v>100</v>
      </c>
      <c r="I12" s="25" t="s">
        <v>175</v>
      </c>
      <c r="J12" s="5">
        <f t="shared" si="9"/>
        <v>214107.52293577979</v>
      </c>
      <c r="K12" s="25" t="s">
        <v>176</v>
      </c>
      <c r="L12" s="10">
        <f t="shared" si="1"/>
        <v>44.96257981651376</v>
      </c>
      <c r="M12" s="25" t="s">
        <v>177</v>
      </c>
      <c r="N12" s="5">
        <f t="shared" si="10"/>
        <v>39.746920557798163</v>
      </c>
      <c r="O12" s="25" t="s">
        <v>178</v>
      </c>
      <c r="P12" s="25" t="s">
        <v>179</v>
      </c>
      <c r="Q12" s="5">
        <f t="shared" si="2"/>
        <v>19.873460278899081</v>
      </c>
      <c r="R12" s="25" t="s">
        <v>180</v>
      </c>
      <c r="S12" s="25" t="s">
        <v>181</v>
      </c>
      <c r="T12" s="5">
        <f t="shared" si="3"/>
        <v>1.8929246102752293</v>
      </c>
      <c r="U12" s="25" t="s">
        <v>182</v>
      </c>
      <c r="V12" s="25" t="s">
        <v>183</v>
      </c>
      <c r="W12" s="5">
        <f t="shared" si="4"/>
        <v>17.490443548623855</v>
      </c>
      <c r="X12" s="25" t="s">
        <v>175</v>
      </c>
      <c r="Y12" s="5">
        <f t="shared" si="5"/>
        <v>0.47210708807339452</v>
      </c>
      <c r="Z12" s="25" t="s">
        <v>184</v>
      </c>
      <c r="AA12" s="25" t="s">
        <v>185</v>
      </c>
      <c r="AB12" s="5">
        <f t="shared" si="6"/>
        <v>5.2156592587155961</v>
      </c>
    </row>
    <row r="13" spans="1:28" s="5" customFormat="1" ht="20.100000000000001" customHeight="1">
      <c r="A13" s="5">
        <v>9996</v>
      </c>
      <c r="B13" s="5" t="s">
        <v>133</v>
      </c>
      <c r="C13" s="25">
        <v>370437</v>
      </c>
      <c r="D13" s="25">
        <v>1002</v>
      </c>
      <c r="E13" s="5">
        <f t="shared" si="7"/>
        <v>369.69760479041918</v>
      </c>
      <c r="F13" s="5">
        <f t="shared" si="8"/>
        <v>221818.56287425151</v>
      </c>
      <c r="G13" s="5">
        <f t="shared" si="0"/>
        <v>22181856.287425153</v>
      </c>
      <c r="H13" s="5">
        <v>100</v>
      </c>
      <c r="I13" s="25" t="s">
        <v>186</v>
      </c>
      <c r="J13" s="5">
        <f t="shared" si="9"/>
        <v>82072.868263473065</v>
      </c>
      <c r="K13" s="25" t="s">
        <v>187</v>
      </c>
      <c r="L13" s="10">
        <f t="shared" si="1"/>
        <v>25.442589161676651</v>
      </c>
      <c r="M13" s="25" t="s">
        <v>188</v>
      </c>
      <c r="N13" s="5">
        <f t="shared" si="10"/>
        <v>23.229083904610782</v>
      </c>
      <c r="O13" s="25" t="s">
        <v>189</v>
      </c>
      <c r="P13" s="25" t="s">
        <v>190</v>
      </c>
      <c r="Q13" s="5">
        <f t="shared" si="2"/>
        <v>9.4137579898203612</v>
      </c>
      <c r="R13" s="25" t="s">
        <v>85</v>
      </c>
      <c r="S13" s="25" t="s">
        <v>85</v>
      </c>
      <c r="T13" s="5">
        <f t="shared" si="3"/>
        <v>0</v>
      </c>
      <c r="U13" s="25" t="s">
        <v>114</v>
      </c>
      <c r="V13" s="25" t="s">
        <v>190</v>
      </c>
      <c r="W13" s="5">
        <f t="shared" si="4"/>
        <v>9.4137579898203612</v>
      </c>
      <c r="X13" s="25" t="s">
        <v>85</v>
      </c>
      <c r="Y13" s="5">
        <f t="shared" si="5"/>
        <v>0</v>
      </c>
      <c r="Z13" s="25" t="s">
        <v>116</v>
      </c>
      <c r="AA13" s="25" t="s">
        <v>191</v>
      </c>
      <c r="AB13" s="5">
        <f t="shared" si="6"/>
        <v>3.8672735525748507</v>
      </c>
    </row>
    <row r="14" spans="1:28" s="7" customFormat="1" ht="20.100000000000001" customHeight="1">
      <c r="A14" s="7">
        <v>9997</v>
      </c>
      <c r="B14" s="7" t="s">
        <v>192</v>
      </c>
      <c r="C14" s="26">
        <v>291644</v>
      </c>
      <c r="D14" s="26">
        <v>900</v>
      </c>
      <c r="E14" s="7">
        <f t="shared" si="7"/>
        <v>324.04888888888888</v>
      </c>
      <c r="F14" s="7">
        <f t="shared" si="8"/>
        <v>194429.33333333334</v>
      </c>
      <c r="G14" s="7">
        <f t="shared" si="0"/>
        <v>19442933.333333336</v>
      </c>
      <c r="H14" s="7">
        <v>100</v>
      </c>
      <c r="I14" s="26" t="s">
        <v>193</v>
      </c>
      <c r="J14" s="7">
        <f t="shared" si="9"/>
        <v>254702.4266666667</v>
      </c>
      <c r="K14" s="26" t="s">
        <v>194</v>
      </c>
      <c r="L14" s="11">
        <f t="shared" si="1"/>
        <v>81.504776533333356</v>
      </c>
      <c r="M14" s="26" t="s">
        <v>99</v>
      </c>
      <c r="N14" s="7">
        <f t="shared" si="10"/>
        <v>70.990660360533354</v>
      </c>
      <c r="O14" s="26" t="s">
        <v>195</v>
      </c>
      <c r="P14" s="26" t="s">
        <v>196</v>
      </c>
      <c r="Q14" s="7">
        <f t="shared" si="2"/>
        <v>30.238272093866676</v>
      </c>
      <c r="R14" s="26" t="s">
        <v>112</v>
      </c>
      <c r="S14" s="26" t="s">
        <v>197</v>
      </c>
      <c r="T14" s="7">
        <f t="shared" si="3"/>
        <v>7.8896623684266682</v>
      </c>
      <c r="U14" s="26" t="s">
        <v>198</v>
      </c>
      <c r="V14" s="26" t="s">
        <v>101</v>
      </c>
      <c r="W14" s="7">
        <f t="shared" si="4"/>
        <v>28.934195669333342</v>
      </c>
      <c r="X14" s="26" t="s">
        <v>85</v>
      </c>
      <c r="Y14" s="7">
        <f t="shared" si="5"/>
        <v>0</v>
      </c>
      <c r="Z14" s="26" t="s">
        <v>199</v>
      </c>
      <c r="AA14" s="26" t="s">
        <v>200</v>
      </c>
      <c r="AB14" s="7">
        <f t="shared" si="6"/>
        <v>9.21003974826667</v>
      </c>
    </row>
    <row r="15" spans="1:28" s="7" customFormat="1" ht="20.100000000000001" customHeight="1">
      <c r="A15" s="7">
        <v>9998</v>
      </c>
      <c r="B15" s="7" t="s">
        <v>192</v>
      </c>
      <c r="C15" s="26">
        <v>284929</v>
      </c>
      <c r="D15" s="26">
        <v>923</v>
      </c>
      <c r="E15" s="7">
        <f t="shared" si="7"/>
        <v>308.69880823401951</v>
      </c>
      <c r="F15" s="7">
        <f t="shared" si="8"/>
        <v>185219.28494041172</v>
      </c>
      <c r="G15" s="7">
        <f t="shared" si="0"/>
        <v>18521928.494041171</v>
      </c>
      <c r="H15" s="7">
        <v>100</v>
      </c>
      <c r="I15" s="26" t="s">
        <v>201</v>
      </c>
      <c r="J15" s="7">
        <f t="shared" si="9"/>
        <v>103722.79956663055</v>
      </c>
      <c r="K15" s="26" t="s">
        <v>202</v>
      </c>
      <c r="L15" s="11">
        <f t="shared" si="1"/>
        <v>25.930699891657639</v>
      </c>
      <c r="M15" s="26" t="s">
        <v>203</v>
      </c>
      <c r="N15" s="7">
        <f t="shared" si="10"/>
        <v>23.726590400866741</v>
      </c>
      <c r="O15" s="26" t="s">
        <v>204</v>
      </c>
      <c r="P15" s="26" t="s">
        <v>205</v>
      </c>
      <c r="Q15" s="7">
        <f t="shared" si="2"/>
        <v>12.135567549295775</v>
      </c>
      <c r="R15" s="26" t="s">
        <v>206</v>
      </c>
      <c r="S15" s="26" t="s">
        <v>207</v>
      </c>
      <c r="T15" s="7">
        <f t="shared" si="3"/>
        <v>1.9318371419284941</v>
      </c>
      <c r="U15" s="26" t="s">
        <v>78</v>
      </c>
      <c r="V15" s="26" t="s">
        <v>208</v>
      </c>
      <c r="W15" s="7">
        <f t="shared" si="4"/>
        <v>11.591022851570965</v>
      </c>
      <c r="X15" s="26" t="s">
        <v>209</v>
      </c>
      <c r="Y15" s="7">
        <f t="shared" si="5"/>
        <v>0.27486541885157095</v>
      </c>
      <c r="Z15" s="26" t="s">
        <v>206</v>
      </c>
      <c r="AA15" s="26" t="s">
        <v>207</v>
      </c>
      <c r="AB15" s="7">
        <f t="shared" si="6"/>
        <v>1.9318371419284941</v>
      </c>
    </row>
    <row r="16" spans="1:28" s="7" customFormat="1" ht="20.100000000000001" customHeight="1">
      <c r="A16" s="7">
        <v>9999</v>
      </c>
      <c r="B16" s="7" t="s">
        <v>192</v>
      </c>
      <c r="C16" s="26">
        <v>287311</v>
      </c>
      <c r="D16" s="26">
        <v>983</v>
      </c>
      <c r="E16" s="7">
        <f t="shared" si="7"/>
        <v>292.27975584944051</v>
      </c>
      <c r="F16" s="7">
        <f t="shared" si="8"/>
        <v>175367.8535096643</v>
      </c>
      <c r="G16" s="7">
        <f t="shared" si="0"/>
        <v>17536785.350966431</v>
      </c>
      <c r="H16" s="7">
        <v>100</v>
      </c>
      <c r="I16" s="26" t="s">
        <v>210</v>
      </c>
      <c r="J16" s="7">
        <f t="shared" si="9"/>
        <v>73654.498474059001</v>
      </c>
      <c r="K16" s="26" t="s">
        <v>211</v>
      </c>
      <c r="L16" s="11">
        <f t="shared" si="1"/>
        <v>12.521264740590031</v>
      </c>
      <c r="M16" s="26" t="s">
        <v>212</v>
      </c>
      <c r="N16" s="7">
        <f t="shared" si="10"/>
        <v>11.532084826083418</v>
      </c>
      <c r="O16" s="26" t="s">
        <v>213</v>
      </c>
      <c r="P16" s="26" t="s">
        <v>214</v>
      </c>
      <c r="Q16" s="7">
        <f t="shared" si="2"/>
        <v>5.9350794870396744</v>
      </c>
      <c r="R16" s="26" t="s">
        <v>215</v>
      </c>
      <c r="S16" s="26" t="s">
        <v>216</v>
      </c>
      <c r="T16" s="7">
        <f t="shared" si="3"/>
        <v>0.98792778803255343</v>
      </c>
      <c r="U16" s="26" t="s">
        <v>114</v>
      </c>
      <c r="V16" s="26" t="s">
        <v>214</v>
      </c>
      <c r="W16" s="7">
        <f t="shared" si="4"/>
        <v>5.9350794870396744</v>
      </c>
      <c r="X16" s="26" t="s">
        <v>85</v>
      </c>
      <c r="Y16" s="7">
        <f t="shared" si="5"/>
        <v>0</v>
      </c>
      <c r="Z16" s="26" t="s">
        <v>215</v>
      </c>
      <c r="AA16" s="26" t="s">
        <v>216</v>
      </c>
      <c r="AB16" s="7">
        <f t="shared" si="6"/>
        <v>0.98792778803255343</v>
      </c>
    </row>
    <row r="17" spans="1:28" s="7" customFormat="1" ht="20.100000000000001" customHeight="1">
      <c r="A17" s="7">
        <v>10000</v>
      </c>
      <c r="B17" s="7" t="s">
        <v>192</v>
      </c>
      <c r="C17" s="26">
        <v>301007</v>
      </c>
      <c r="D17" s="26">
        <v>1052</v>
      </c>
      <c r="E17" s="7">
        <f t="shared" si="7"/>
        <v>286.1283269961977</v>
      </c>
      <c r="F17" s="7">
        <f t="shared" si="8"/>
        <v>171676.99619771863</v>
      </c>
      <c r="G17" s="7">
        <f t="shared" si="0"/>
        <v>17167699.619771864</v>
      </c>
      <c r="H17" s="7">
        <v>100</v>
      </c>
      <c r="I17" s="26" t="s">
        <v>217</v>
      </c>
      <c r="J17" s="7">
        <f t="shared" si="9"/>
        <v>121890.66730038024</v>
      </c>
      <c r="K17" s="26" t="s">
        <v>218</v>
      </c>
      <c r="L17" s="11">
        <f t="shared" si="1"/>
        <v>17.064693422053232</v>
      </c>
      <c r="M17" s="26" t="s">
        <v>219</v>
      </c>
      <c r="N17" s="7">
        <f t="shared" si="10"/>
        <v>12.457226198098859</v>
      </c>
      <c r="O17" s="26" t="s">
        <v>220</v>
      </c>
      <c r="P17" s="26" t="s">
        <v>189</v>
      </c>
      <c r="Q17" s="7">
        <f t="shared" si="2"/>
        <v>6.9112008359315595</v>
      </c>
      <c r="R17" s="26" t="s">
        <v>221</v>
      </c>
      <c r="S17" s="26" t="s">
        <v>222</v>
      </c>
      <c r="T17" s="7">
        <f t="shared" si="3"/>
        <v>1.8429868895817489</v>
      </c>
      <c r="U17" s="26" t="s">
        <v>223</v>
      </c>
      <c r="V17" s="26" t="s">
        <v>224</v>
      </c>
      <c r="W17" s="7">
        <f t="shared" si="4"/>
        <v>5.0682139463498093</v>
      </c>
      <c r="X17" s="26" t="s">
        <v>225</v>
      </c>
      <c r="Y17" s="7">
        <f t="shared" si="5"/>
        <v>0.46074672239543724</v>
      </c>
      <c r="Z17" s="26" t="s">
        <v>102</v>
      </c>
      <c r="AA17" s="26" t="s">
        <v>226</v>
      </c>
      <c r="AB17" s="7">
        <f t="shared" si="6"/>
        <v>0.92319991413307989</v>
      </c>
    </row>
    <row r="18" spans="1:28" s="7" customFormat="1" ht="20.100000000000001" customHeight="1">
      <c r="A18" s="7">
        <v>10001</v>
      </c>
      <c r="B18" s="7" t="s">
        <v>192</v>
      </c>
      <c r="C18" s="26">
        <v>286298</v>
      </c>
      <c r="D18" s="26">
        <v>936</v>
      </c>
      <c r="E18" s="7">
        <f t="shared" si="7"/>
        <v>305.87393162393164</v>
      </c>
      <c r="F18" s="7">
        <f t="shared" si="8"/>
        <v>183524.358974359</v>
      </c>
      <c r="G18" s="7">
        <f t="shared" si="0"/>
        <v>18352435.8974359</v>
      </c>
      <c r="H18" s="7">
        <v>100</v>
      </c>
      <c r="I18" s="26" t="s">
        <v>227</v>
      </c>
      <c r="J18" s="7">
        <f t="shared" si="9"/>
        <v>218393.98717948722</v>
      </c>
      <c r="K18" s="26" t="s">
        <v>211</v>
      </c>
      <c r="L18" s="11">
        <f t="shared" si="1"/>
        <v>37.126977820512828</v>
      </c>
      <c r="M18" s="26" t="s">
        <v>228</v>
      </c>
      <c r="N18" s="7">
        <f t="shared" si="10"/>
        <v>34.63947030653847</v>
      </c>
      <c r="O18" s="26" t="s">
        <v>229</v>
      </c>
      <c r="P18" s="26" t="s">
        <v>230</v>
      </c>
      <c r="Q18" s="7">
        <f t="shared" si="2"/>
        <v>21.645028069358975</v>
      </c>
      <c r="R18" s="26" t="s">
        <v>231</v>
      </c>
      <c r="S18" s="26" t="s">
        <v>232</v>
      </c>
      <c r="T18" s="7">
        <f t="shared" si="3"/>
        <v>2.4763694206282056</v>
      </c>
      <c r="U18" s="26" t="s">
        <v>141</v>
      </c>
      <c r="V18" s="26" t="s">
        <v>233</v>
      </c>
      <c r="W18" s="7">
        <f t="shared" si="4"/>
        <v>19.788679178333339</v>
      </c>
      <c r="X18" s="26" t="s">
        <v>85</v>
      </c>
      <c r="Y18" s="7">
        <f t="shared" si="5"/>
        <v>0</v>
      </c>
      <c r="Z18" s="26" t="s">
        <v>234</v>
      </c>
      <c r="AA18" s="26" t="s">
        <v>235</v>
      </c>
      <c r="AB18" s="7">
        <f t="shared" si="6"/>
        <v>0.62002052960256415</v>
      </c>
    </row>
    <row r="19" spans="1:28" s="7" customFormat="1" ht="20.100000000000001" customHeight="1">
      <c r="A19" s="7">
        <v>10002</v>
      </c>
      <c r="B19" s="7" t="s">
        <v>192</v>
      </c>
      <c r="C19" s="26">
        <v>298593</v>
      </c>
      <c r="D19" s="26">
        <v>896</v>
      </c>
      <c r="E19" s="7">
        <f t="shared" si="7"/>
        <v>333.25111607142856</v>
      </c>
      <c r="F19" s="7">
        <f t="shared" si="8"/>
        <v>199950.66964285713</v>
      </c>
      <c r="G19" s="7">
        <f t="shared" si="0"/>
        <v>19995066.964285713</v>
      </c>
      <c r="H19" s="7">
        <v>100</v>
      </c>
      <c r="I19" s="26" t="s">
        <v>236</v>
      </c>
      <c r="J19" s="7">
        <f t="shared" si="9"/>
        <v>199950.66964285713</v>
      </c>
      <c r="K19" s="26" t="s">
        <v>117</v>
      </c>
      <c r="L19" s="11">
        <f t="shared" si="1"/>
        <v>37.990627232142856</v>
      </c>
      <c r="M19" s="26" t="s">
        <v>237</v>
      </c>
      <c r="N19" s="7">
        <f t="shared" si="10"/>
        <v>37.572730332589288</v>
      </c>
      <c r="O19" s="26" t="s">
        <v>238</v>
      </c>
      <c r="P19" s="26" t="s">
        <v>239</v>
      </c>
      <c r="Q19" s="7">
        <f t="shared" si="2"/>
        <v>23.592179511160712</v>
      </c>
      <c r="R19" s="26" t="s">
        <v>240</v>
      </c>
      <c r="S19" s="26" t="s">
        <v>241</v>
      </c>
      <c r="T19" s="7">
        <f t="shared" si="3"/>
        <v>1.3106766395089287</v>
      </c>
      <c r="U19" s="26" t="s">
        <v>242</v>
      </c>
      <c r="V19" s="26" t="s">
        <v>243</v>
      </c>
      <c r="W19" s="7">
        <f t="shared" si="4"/>
        <v>20.970826232142858</v>
      </c>
      <c r="X19" s="26" t="s">
        <v>85</v>
      </c>
      <c r="Y19" s="7">
        <f t="shared" si="5"/>
        <v>0</v>
      </c>
      <c r="Z19" s="26" t="s">
        <v>244</v>
      </c>
      <c r="AA19" s="26" t="s">
        <v>245</v>
      </c>
      <c r="AB19" s="7">
        <f t="shared" si="6"/>
        <v>2.6213532790178573</v>
      </c>
    </row>
    <row r="20" spans="1:28" s="6" customFormat="1" ht="20.100000000000001" customHeight="1">
      <c r="A20" s="6">
        <v>10003</v>
      </c>
      <c r="B20" s="6" t="s">
        <v>246</v>
      </c>
      <c r="C20" s="27">
        <v>132723</v>
      </c>
      <c r="D20" s="27">
        <v>1020</v>
      </c>
      <c r="E20" s="6">
        <f t="shared" si="7"/>
        <v>130.12058823529412</v>
      </c>
      <c r="F20" s="6">
        <f t="shared" si="8"/>
        <v>78072.352941176476</v>
      </c>
      <c r="G20" s="6">
        <f t="shared" si="0"/>
        <v>7807235.2941176472</v>
      </c>
      <c r="H20" s="6">
        <v>100</v>
      </c>
      <c r="I20" s="27" t="s">
        <v>247</v>
      </c>
      <c r="J20" s="6">
        <f t="shared" si="9"/>
        <v>133503.72352941177</v>
      </c>
      <c r="K20" s="27" t="s">
        <v>146</v>
      </c>
      <c r="L20" s="12">
        <f t="shared" si="1"/>
        <v>70.756973470588235</v>
      </c>
      <c r="M20" s="27" t="s">
        <v>248</v>
      </c>
      <c r="N20" s="6">
        <f t="shared" si="10"/>
        <v>66.440798088882346</v>
      </c>
      <c r="O20" s="27" t="s">
        <v>249</v>
      </c>
      <c r="P20" s="27" t="s">
        <v>250</v>
      </c>
      <c r="Q20" s="6">
        <f t="shared" si="2"/>
        <v>26.321594131058824</v>
      </c>
      <c r="R20" s="27" t="s">
        <v>251</v>
      </c>
      <c r="S20" s="27" t="s">
        <v>252</v>
      </c>
      <c r="T20" s="6">
        <f t="shared" si="3"/>
        <v>3.9694662116999999</v>
      </c>
      <c r="U20" s="27" t="s">
        <v>253</v>
      </c>
      <c r="V20" s="27" t="s">
        <v>254</v>
      </c>
      <c r="W20" s="6">
        <f t="shared" si="4"/>
        <v>24.198884926941179</v>
      </c>
      <c r="X20" s="27" t="s">
        <v>85</v>
      </c>
      <c r="Y20" s="6">
        <f t="shared" si="5"/>
        <v>0</v>
      </c>
      <c r="Z20" s="27" t="s">
        <v>255</v>
      </c>
      <c r="AA20" s="27" t="s">
        <v>256</v>
      </c>
      <c r="AB20" s="6">
        <f t="shared" si="6"/>
        <v>16.981673632941177</v>
      </c>
    </row>
    <row r="21" spans="1:28" s="6" customFormat="1" ht="20.100000000000001" customHeight="1">
      <c r="A21" s="6">
        <v>10004</v>
      </c>
      <c r="B21" s="6" t="s">
        <v>246</v>
      </c>
      <c r="C21" s="27">
        <v>133887</v>
      </c>
      <c r="D21" s="27">
        <v>1042</v>
      </c>
      <c r="E21" s="6">
        <f t="shared" si="7"/>
        <v>128.49040307101728</v>
      </c>
      <c r="F21" s="6">
        <f t="shared" si="8"/>
        <v>77094.241842610369</v>
      </c>
      <c r="G21" s="6">
        <f t="shared" si="0"/>
        <v>7709424.184261037</v>
      </c>
      <c r="H21" s="6">
        <v>100</v>
      </c>
      <c r="I21" s="27" t="s">
        <v>257</v>
      </c>
      <c r="J21" s="6">
        <f t="shared" si="9"/>
        <v>143395.28982725527</v>
      </c>
      <c r="K21" s="27" t="s">
        <v>176</v>
      </c>
      <c r="L21" s="12">
        <f t="shared" si="1"/>
        <v>30.113010863723609</v>
      </c>
      <c r="M21" s="27" t="s">
        <v>258</v>
      </c>
      <c r="N21" s="6">
        <f t="shared" si="10"/>
        <v>25.023912027754317</v>
      </c>
      <c r="O21" s="27" t="s">
        <v>259</v>
      </c>
      <c r="P21" s="27" t="s">
        <v>260</v>
      </c>
      <c r="Q21" s="6">
        <f t="shared" si="2"/>
        <v>10.208310682802304</v>
      </c>
      <c r="R21" s="27" t="s">
        <v>261</v>
      </c>
      <c r="S21" s="27" t="s">
        <v>262</v>
      </c>
      <c r="T21" s="6">
        <f t="shared" si="3"/>
        <v>0.5089098835969289</v>
      </c>
      <c r="U21" s="27" t="s">
        <v>263</v>
      </c>
      <c r="V21" s="27" t="s">
        <v>264</v>
      </c>
      <c r="W21" s="6">
        <f t="shared" si="4"/>
        <v>8.160625944069098</v>
      </c>
      <c r="X21" s="27" t="s">
        <v>85</v>
      </c>
      <c r="Y21" s="6">
        <f t="shared" si="5"/>
        <v>0</v>
      </c>
      <c r="Z21" s="27" t="s">
        <v>265</v>
      </c>
      <c r="AA21" s="27" t="s">
        <v>266</v>
      </c>
      <c r="AB21" s="6">
        <f t="shared" si="6"/>
        <v>8.6725471287523987</v>
      </c>
    </row>
    <row r="22" spans="1:28" s="6" customFormat="1" ht="20.100000000000001" customHeight="1">
      <c r="A22" s="6">
        <v>10005</v>
      </c>
      <c r="B22" s="6" t="s">
        <v>246</v>
      </c>
      <c r="C22" s="27">
        <v>79243</v>
      </c>
      <c r="D22" s="27">
        <v>1078</v>
      </c>
      <c r="E22" s="6">
        <f t="shared" si="7"/>
        <v>73.509276437847873</v>
      </c>
      <c r="F22" s="6">
        <f t="shared" si="8"/>
        <v>44105.565862708725</v>
      </c>
      <c r="G22" s="6">
        <f t="shared" si="0"/>
        <v>4410556.5862708725</v>
      </c>
      <c r="H22" s="6">
        <v>100</v>
      </c>
      <c r="I22" s="27" t="s">
        <v>267</v>
      </c>
      <c r="J22" s="6">
        <f t="shared" si="9"/>
        <v>86005.85343228202</v>
      </c>
      <c r="K22" s="27" t="s">
        <v>211</v>
      </c>
      <c r="L22" s="12">
        <f t="shared" si="1"/>
        <v>14.620995083487944</v>
      </c>
      <c r="M22" s="27" t="s">
        <v>160</v>
      </c>
      <c r="N22" s="6">
        <f t="shared" si="10"/>
        <v>13.407452491558445</v>
      </c>
      <c r="O22" s="27" t="s">
        <v>268</v>
      </c>
      <c r="P22" s="27" t="s">
        <v>115</v>
      </c>
      <c r="Q22" s="6">
        <f t="shared" si="2"/>
        <v>3.2458609085343237</v>
      </c>
      <c r="R22" s="27" t="s">
        <v>269</v>
      </c>
      <c r="S22" s="27" t="s">
        <v>112</v>
      </c>
      <c r="T22" s="6">
        <f t="shared" si="3"/>
        <v>1.6229304542671619</v>
      </c>
      <c r="U22" s="27" t="s">
        <v>229</v>
      </c>
      <c r="V22" s="27" t="s">
        <v>270</v>
      </c>
      <c r="W22" s="6">
        <f t="shared" si="4"/>
        <v>2.0323183166048246</v>
      </c>
      <c r="X22" s="27" t="s">
        <v>85</v>
      </c>
      <c r="Y22" s="6">
        <f t="shared" si="5"/>
        <v>0</v>
      </c>
      <c r="Z22" s="27" t="s">
        <v>268</v>
      </c>
      <c r="AA22" s="27" t="s">
        <v>115</v>
      </c>
      <c r="AB22" s="6">
        <f t="shared" si="6"/>
        <v>3.2458609085343237</v>
      </c>
    </row>
    <row r="23" spans="1:28" s="6" customFormat="1" ht="20.100000000000001" customHeight="1">
      <c r="A23" s="6">
        <v>10006</v>
      </c>
      <c r="B23" s="6" t="s">
        <v>246</v>
      </c>
      <c r="C23" s="27">
        <v>85559</v>
      </c>
      <c r="D23" s="27">
        <v>1024</v>
      </c>
      <c r="E23" s="6">
        <f t="shared" si="7"/>
        <v>83.5537109375</v>
      </c>
      <c r="F23" s="6">
        <f t="shared" si="8"/>
        <v>50132.2265625</v>
      </c>
      <c r="G23" s="6">
        <f t="shared" si="0"/>
        <v>5013222.65625</v>
      </c>
      <c r="H23" s="6">
        <v>100</v>
      </c>
      <c r="I23" s="27" t="s">
        <v>271</v>
      </c>
      <c r="J23" s="6">
        <f t="shared" si="9"/>
        <v>205040.806640625</v>
      </c>
      <c r="K23" s="27" t="s">
        <v>272</v>
      </c>
      <c r="L23" s="12">
        <f t="shared" si="1"/>
        <v>55.361017792968752</v>
      </c>
      <c r="M23" s="27" t="s">
        <v>78</v>
      </c>
      <c r="N23" s="6">
        <f t="shared" si="10"/>
        <v>52.869771992285159</v>
      </c>
      <c r="O23" s="27" t="s">
        <v>273</v>
      </c>
      <c r="P23" s="27" t="s">
        <v>274</v>
      </c>
      <c r="Q23" s="6">
        <f t="shared" si="2"/>
        <v>19.265634191953126</v>
      </c>
      <c r="R23" s="27" t="s">
        <v>180</v>
      </c>
      <c r="S23" s="27" t="s">
        <v>275</v>
      </c>
      <c r="T23" s="6">
        <f t="shared" si="3"/>
        <v>2.518926309580078</v>
      </c>
      <c r="U23" s="27" t="s">
        <v>276</v>
      </c>
      <c r="V23" s="27" t="s">
        <v>277</v>
      </c>
      <c r="W23" s="6">
        <f t="shared" si="4"/>
        <v>16.774388391269532</v>
      </c>
      <c r="X23" s="27" t="s">
        <v>85</v>
      </c>
      <c r="Y23" s="6">
        <f t="shared" si="5"/>
        <v>0</v>
      </c>
      <c r="Z23" s="27" t="s">
        <v>278</v>
      </c>
      <c r="AA23" s="27" t="s">
        <v>191</v>
      </c>
      <c r="AB23" s="6">
        <f t="shared" si="6"/>
        <v>8.4148747045312504</v>
      </c>
    </row>
    <row r="24" spans="1:28" s="6" customFormat="1" ht="20.100000000000001" customHeight="1">
      <c r="A24" s="6">
        <v>10007</v>
      </c>
      <c r="B24" s="6" t="s">
        <v>246</v>
      </c>
      <c r="C24" s="27">
        <v>68018</v>
      </c>
      <c r="D24" s="27">
        <v>1053</v>
      </c>
      <c r="E24" s="6">
        <f t="shared" si="7"/>
        <v>64.59449192782526</v>
      </c>
      <c r="F24" s="6">
        <f t="shared" si="8"/>
        <v>38756.695156695154</v>
      </c>
      <c r="G24" s="6">
        <f t="shared" si="0"/>
        <v>3875669.5156695154</v>
      </c>
      <c r="H24" s="6">
        <v>100</v>
      </c>
      <c r="I24" s="27" t="s">
        <v>279</v>
      </c>
      <c r="J24" s="6">
        <f t="shared" si="9"/>
        <v>112394.41595441595</v>
      </c>
      <c r="K24" s="27" t="s">
        <v>280</v>
      </c>
      <c r="L24" s="12">
        <f t="shared" si="1"/>
        <v>20.230994871794874</v>
      </c>
      <c r="M24" s="27" t="s">
        <v>281</v>
      </c>
      <c r="N24" s="6">
        <f t="shared" si="10"/>
        <v>18.349512348717951</v>
      </c>
      <c r="O24" s="27" t="s">
        <v>129</v>
      </c>
      <c r="P24" s="27" t="s">
        <v>282</v>
      </c>
      <c r="Q24" s="6">
        <f t="shared" si="2"/>
        <v>6.1097604512820514</v>
      </c>
      <c r="R24" s="27" t="s">
        <v>283</v>
      </c>
      <c r="S24" s="27" t="s">
        <v>244</v>
      </c>
      <c r="T24" s="6">
        <f t="shared" si="3"/>
        <v>1.4121234420512823</v>
      </c>
      <c r="U24" s="27" t="s">
        <v>284</v>
      </c>
      <c r="V24" s="27" t="s">
        <v>285</v>
      </c>
      <c r="W24" s="6">
        <f t="shared" si="4"/>
        <v>5.6444475692307705</v>
      </c>
      <c r="X24" s="27" t="s">
        <v>85</v>
      </c>
      <c r="Y24" s="6">
        <f t="shared" si="5"/>
        <v>0</v>
      </c>
      <c r="Z24" s="27" t="s">
        <v>286</v>
      </c>
      <c r="AA24" s="27" t="s">
        <v>287</v>
      </c>
      <c r="AB24" s="6">
        <f t="shared" si="6"/>
        <v>1.8814825230769232</v>
      </c>
    </row>
    <row r="25" spans="1:28" s="6" customFormat="1" ht="20.100000000000001" customHeight="1">
      <c r="A25" s="6">
        <v>10008</v>
      </c>
      <c r="B25" s="6" t="s">
        <v>246</v>
      </c>
      <c r="C25" s="27">
        <v>117628</v>
      </c>
      <c r="D25" s="27">
        <v>948</v>
      </c>
      <c r="E25" s="6">
        <f t="shared" si="7"/>
        <v>124.08016877637131</v>
      </c>
      <c r="F25" s="6">
        <f t="shared" si="8"/>
        <v>74448.101265822785</v>
      </c>
      <c r="G25" s="6">
        <f t="shared" si="0"/>
        <v>7444810.1265822789</v>
      </c>
      <c r="H25" s="6">
        <v>100</v>
      </c>
      <c r="I25" s="27" t="s">
        <v>288</v>
      </c>
      <c r="J25" s="6">
        <f t="shared" si="9"/>
        <v>189842.65822784809</v>
      </c>
      <c r="K25" s="27" t="s">
        <v>187</v>
      </c>
      <c r="L25" s="12">
        <f t="shared" si="1"/>
        <v>58.851224050632908</v>
      </c>
      <c r="M25" s="27" t="s">
        <v>289</v>
      </c>
      <c r="N25" s="6">
        <f t="shared" si="10"/>
        <v>54.731638367088607</v>
      </c>
      <c r="O25" s="27" t="s">
        <v>290</v>
      </c>
      <c r="P25" s="27" t="s">
        <v>291</v>
      </c>
      <c r="Q25" s="6">
        <f t="shared" si="2"/>
        <v>21.951506570886075</v>
      </c>
      <c r="R25" s="27" t="s">
        <v>292</v>
      </c>
      <c r="S25" s="27" t="s">
        <v>293</v>
      </c>
      <c r="T25" s="6">
        <f t="shared" si="3"/>
        <v>1.8596986800000002</v>
      </c>
      <c r="U25" s="27" t="s">
        <v>294</v>
      </c>
      <c r="V25" s="27" t="s">
        <v>295</v>
      </c>
      <c r="W25" s="6">
        <f t="shared" si="4"/>
        <v>16.772598854430377</v>
      </c>
      <c r="X25" s="27" t="s">
        <v>85</v>
      </c>
      <c r="Y25" s="6">
        <f t="shared" si="5"/>
        <v>0</v>
      </c>
      <c r="Z25" s="27" t="s">
        <v>296</v>
      </c>
      <c r="AA25" s="27" t="s">
        <v>297</v>
      </c>
      <c r="AB25" s="6">
        <f t="shared" si="6"/>
        <v>12.653013170886075</v>
      </c>
    </row>
    <row r="26" spans="1:28">
      <c r="J26" s="6"/>
      <c r="R26" s="13"/>
    </row>
    <row r="27" spans="1:28">
      <c r="E27" s="3"/>
      <c r="F27" s="3"/>
      <c r="G27" s="1"/>
      <c r="R27" s="13"/>
    </row>
    <row r="28" spans="1:28">
      <c r="D28" s="4"/>
    </row>
    <row r="29" spans="1:28">
      <c r="D29" s="4"/>
    </row>
    <row r="30" spans="1:28">
      <c r="D30" s="4"/>
    </row>
    <row r="31" spans="1:28">
      <c r="D31" s="4"/>
    </row>
    <row r="32" spans="1:28">
      <c r="D32" s="4"/>
    </row>
    <row r="33" spans="4:4">
      <c r="D33" s="4"/>
    </row>
    <row r="34" spans="4:4">
      <c r="D34" s="5"/>
    </row>
    <row r="35" spans="4:4">
      <c r="D35" s="5"/>
    </row>
    <row r="36" spans="4:4">
      <c r="D36" s="5"/>
    </row>
    <row r="37" spans="4:4">
      <c r="D37" s="5"/>
    </row>
    <row r="38" spans="4:4">
      <c r="D38" s="5"/>
    </row>
    <row r="39" spans="4:4">
      <c r="D39" s="5"/>
    </row>
    <row r="40" spans="4:4">
      <c r="D40" s="7"/>
    </row>
    <row r="41" spans="4:4">
      <c r="D41" s="7"/>
    </row>
    <row r="42" spans="4:4">
      <c r="D42" s="7"/>
    </row>
    <row r="43" spans="4:4">
      <c r="D43" s="7"/>
    </row>
    <row r="44" spans="4:4">
      <c r="D44" s="7"/>
    </row>
    <row r="45" spans="4:4">
      <c r="D45" s="7"/>
    </row>
    <row r="46" spans="4:4">
      <c r="D46" s="6"/>
    </row>
    <row r="47" spans="4:4">
      <c r="D47" s="6"/>
    </row>
    <row r="48" spans="4:4">
      <c r="D48" s="6"/>
    </row>
    <row r="49" spans="4:4">
      <c r="D49" s="6"/>
    </row>
    <row r="50" spans="4:4">
      <c r="D50" s="6"/>
    </row>
    <row r="51" spans="4:4">
      <c r="D51" s="6"/>
    </row>
  </sheetData>
  <pageMargins left="0.7" right="0.7" top="0.75" bottom="0.75" header="0.3" footer="0.3"/>
  <pageSetup paperSize="9" scale="39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1E7341-0B54-4A31-A20C-F99A1ADBF8FD}"/>
</file>

<file path=customXml/itemProps2.xml><?xml version="1.0" encoding="utf-8"?>
<ds:datastoreItem xmlns:ds="http://schemas.openxmlformats.org/officeDocument/2006/customXml" ds:itemID="{8A93ADE3-9E13-421D-86CF-9CBEBF6C2D03}"/>
</file>

<file path=customXml/itemProps3.xml><?xml version="1.0" encoding="utf-8"?>
<ds:datastoreItem xmlns:ds="http://schemas.openxmlformats.org/officeDocument/2006/customXml" ds:itemID="{024E4B7F-0EDD-45BE-8CA3-8AFA640D25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Taylah Bennett</cp:lastModifiedBy>
  <cp:revision/>
  <dcterms:created xsi:type="dcterms:W3CDTF">2025-10-06T04:32:20Z</dcterms:created>
  <dcterms:modified xsi:type="dcterms:W3CDTF">2026-08-12T06:30:38Z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
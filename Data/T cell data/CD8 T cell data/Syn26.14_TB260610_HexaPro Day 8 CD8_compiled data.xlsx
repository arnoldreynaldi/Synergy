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5" documentId="13_ncr:1_{85995A3F-2059-E04B-B4D6-ADA0A8304EC8}" xr6:coauthVersionLast="47" xr6:coauthVersionMax="47" xr10:uidLastSave="{2B5D8B2B-950F-48E3-92DD-2D79C7121B3B}"/>
  <bookViews>
    <workbookView xWindow="0" yWindow="500" windowWidth="51200" windowHeight="26660" activeTab="2" xr2:uid="{6B8B4BA7-DC4F-C249-AB8D-61FDA605D1B1}"/>
  </bookViews>
  <sheets>
    <sheet name="Start here" sheetId="2" r:id="rId1"/>
    <sheet name="Data dictionary" sheetId="3" r:id="rId2"/>
    <sheet name="Processed dat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" i="4"/>
</calcChain>
</file>

<file path=xl/sharedStrings.xml><?xml version="1.0" encoding="utf-8"?>
<sst xmlns="http://schemas.openxmlformats.org/spreadsheetml/2006/main" count="435" uniqueCount="325">
  <si>
    <t>Experiment code:</t>
  </si>
  <si>
    <t>Syn.26.14</t>
  </si>
  <si>
    <t>Experiment date: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</si>
  <si>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</si>
  <si>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</si>
  <si>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</si>
  <si>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</si>
  <si>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</si>
  <si>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</si>
  <si>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</si>
  <si>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 xml:space="preserve">Sex </t>
  </si>
  <si>
    <t>HexaPro TM</t>
  </si>
  <si>
    <t>F</t>
  </si>
  <si>
    <t>HexaPro TMd21</t>
  </si>
  <si>
    <t>HexaPro SOL</t>
  </si>
  <si>
    <t>HexaPro IC</t>
  </si>
  <si>
    <t>Counting beads: CountBright Absolute Count</t>
  </si>
  <si>
    <t>REF: C36950</t>
  </si>
  <si>
    <t>Lot: 2466366</t>
  </si>
  <si>
    <t>0.5 x 10^5 beads/50 µL</t>
  </si>
  <si>
    <t xml:space="preserve"> </t>
  </si>
  <si>
    <t>Beads were diluted 1:50 = 1000 beads/50 µL, or 20 beads/µL</t>
  </si>
  <si>
    <t xml:space="preserve">Pre-enrichment, 5 µL of cell pellet resuspension (total 100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</si>
  <si>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</si>
  <si>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</si>
  <si>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</si>
  <si>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</si>
  <si>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</si>
  <si>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</si>
  <si>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</si>
  <si>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</si>
  <si>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</si>
  <si>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</si>
  <si>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</si>
  <si>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</si>
  <si>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</si>
  <si>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</si>
  <si>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</si>
  <si>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</si>
  <si>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</si>
  <si>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</si>
  <si>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</si>
  <si>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</si>
  <si>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</si>
  <si>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</si>
  <si>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</si>
  <si>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</si>
  <si>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</si>
  <si>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</si>
  <si>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</si>
  <si>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</si>
  <si>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</si>
  <si>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</si>
  <si>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</si>
  <si>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</si>
  <si>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</si>
  <si>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</si>
  <si>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</si>
  <si>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</si>
  <si>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</si>
  <si>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</si>
  <si>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</si>
  <si>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</si>
  <si>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</si>
  <si>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</si>
  <si>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</si>
  <si>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memory)</t>
  </si>
  <si>
    <t>CD127+ PD-1+ CXCR5+ KLRG1- TFH like (% tetramer)</t>
  </si>
  <si>
    <t>Number of CXCR5+ PD-1+ CD127+ KLRG1- TFH like</t>
  </si>
  <si>
    <t>CD127+ KLRG1- CD62L+ TCF1+ SLAMF6+ Tscm (%TCM)</t>
  </si>
  <si>
    <t>CD127+ KLRG1- CD62L+ TCF1+ SLAMF6+ Tscm (% tetramer)</t>
  </si>
  <si>
    <t xml:space="preserve">Number of CD127+ KLRG1- TCF1+ SLAMF6+ Tscm 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</si>
  <si>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</si>
  <si>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</si>
  <si>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</si>
  <si>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</si>
  <si>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</si>
  <si>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27.7 %</t>
  </si>
  <si>
    <t>0.42 %</t>
  </si>
  <si>
    <t>34.2 %</t>
  </si>
  <si>
    <t>27.5 %</t>
  </si>
  <si>
    <t>9.39 %</t>
  </si>
  <si>
    <t>11.9 %</t>
  </si>
  <si>
    <t>4.08 %</t>
  </si>
  <si>
    <t>96.9 %</t>
  </si>
  <si>
    <t>9.09 %</t>
  </si>
  <si>
    <t>4.55 %</t>
  </si>
  <si>
    <t>19.8 %</t>
  </si>
  <si>
    <t>6.78 %</t>
  </si>
  <si>
    <t>28.9 %</t>
  </si>
  <si>
    <t>0.54 %</t>
  </si>
  <si>
    <t>35.6 %</t>
  </si>
  <si>
    <t>18.9 %</t>
  </si>
  <si>
    <t>6.74 %</t>
  </si>
  <si>
    <t>12.0 %</t>
  </si>
  <si>
    <t>4.29 %</t>
  </si>
  <si>
    <t>96.3 %</t>
  </si>
  <si>
    <t>6.49 %</t>
  </si>
  <si>
    <t>5.37 %</t>
  </si>
  <si>
    <t>20.9 %</t>
  </si>
  <si>
    <t>7.45 %</t>
  </si>
  <si>
    <t>29.5 %</t>
  </si>
  <si>
    <t>0.22 %</t>
  </si>
  <si>
    <t>40.4 %</t>
  </si>
  <si>
    <t>26.0 %</t>
  </si>
  <si>
    <t>10.5 %</t>
  </si>
  <si>
    <t>14.1 %</t>
  </si>
  <si>
    <t>5.71 %</t>
  </si>
  <si>
    <t>96.7 %</t>
  </si>
  <si>
    <t>10.2 %</t>
  </si>
  <si>
    <t>3.65 %</t>
  </si>
  <si>
    <t>24.6 %</t>
  </si>
  <si>
    <t>9.93 %</t>
  </si>
  <si>
    <t>25.3 %</t>
  </si>
  <si>
    <t>39.0 %</t>
  </si>
  <si>
    <t>28.6 %</t>
  </si>
  <si>
    <t>11.1 %</t>
  </si>
  <si>
    <t>17.2 %</t>
  </si>
  <si>
    <t>6.72 %</t>
  </si>
  <si>
    <t>97.6 %</t>
  </si>
  <si>
    <t>10.9 %</t>
  </si>
  <si>
    <t>9.10 %</t>
  </si>
  <si>
    <t>10.8 %</t>
  </si>
  <si>
    <t>4.21 %</t>
  </si>
  <si>
    <t>24.1 %</t>
  </si>
  <si>
    <t>0.69 %</t>
  </si>
  <si>
    <t>36.1 %</t>
  </si>
  <si>
    <t>21.9 %</t>
  </si>
  <si>
    <t>7.89 %</t>
  </si>
  <si>
    <t>14.5 %</t>
  </si>
  <si>
    <t>5.24 %</t>
  </si>
  <si>
    <t>92.4 %</t>
  </si>
  <si>
    <t>7.29 %</t>
  </si>
  <si>
    <t>7.10 %</t>
  </si>
  <si>
    <t>18.2 %</t>
  </si>
  <si>
    <t>6.56 %</t>
  </si>
  <si>
    <t>0.53 %</t>
  </si>
  <si>
    <t>30.2 %</t>
  </si>
  <si>
    <t>14.4 %</t>
  </si>
  <si>
    <t>4.34 %</t>
  </si>
  <si>
    <t>11.0 %</t>
  </si>
  <si>
    <t>3.32 %</t>
  </si>
  <si>
    <t>97.4 %</t>
  </si>
  <si>
    <t>4.23 %</t>
  </si>
  <si>
    <t>5.07 %</t>
  </si>
  <si>
    <t>5.97 %</t>
  </si>
  <si>
    <t>30.0 %</t>
  </si>
  <si>
    <t>0.27 %</t>
  </si>
  <si>
    <t>52.7 %</t>
  </si>
  <si>
    <t>15.3 %</t>
  </si>
  <si>
    <t>8.07 %</t>
  </si>
  <si>
    <t>10.6 %</t>
  </si>
  <si>
    <t>5.61 %</t>
  </si>
  <si>
    <t>91.3 %</t>
  </si>
  <si>
    <t>7.37 %</t>
  </si>
  <si>
    <t>5.15 %</t>
  </si>
  <si>
    <t>22.6 %</t>
  </si>
  <si>
    <t>29.8 %</t>
  </si>
  <si>
    <t>0.24 %</t>
  </si>
  <si>
    <t>37.1 %</t>
  </si>
  <si>
    <t>17.0 %</t>
  </si>
  <si>
    <t>6.30 %</t>
  </si>
  <si>
    <t>9.67 %</t>
  </si>
  <si>
    <t>3.58 %</t>
  </si>
  <si>
    <t>90.2 %</t>
  </si>
  <si>
    <t>5.69 %</t>
  </si>
  <si>
    <t>1.48 %</t>
  </si>
  <si>
    <t>15.7 %</t>
  </si>
  <si>
    <t>5.81 %</t>
  </si>
  <si>
    <t>29.6 %</t>
  </si>
  <si>
    <t>0.12 %</t>
  </si>
  <si>
    <t>47.1 %</t>
  </si>
  <si>
    <t>11.6 %</t>
  </si>
  <si>
    <t>5.23 %</t>
  </si>
  <si>
    <t>96.8 %</t>
  </si>
  <si>
    <t>11.2 %</t>
  </si>
  <si>
    <t>1.68 %</t>
  </si>
  <si>
    <t>14.3 %</t>
  </si>
  <si>
    <t>6.73 %</t>
  </si>
  <si>
    <t>26.5 %</t>
  </si>
  <si>
    <t>0.46 %</t>
  </si>
  <si>
    <t>46.1 %</t>
  </si>
  <si>
    <t>19.7 %</t>
  </si>
  <si>
    <t>9.07 %</t>
  </si>
  <si>
    <t>98.6 %</t>
  </si>
  <si>
    <t>8.95 %</t>
  </si>
  <si>
    <t>3.68 %</t>
  </si>
  <si>
    <t>8.39 %</t>
  </si>
  <si>
    <t>24.4 %</t>
  </si>
  <si>
    <t>0.34 %</t>
  </si>
  <si>
    <t>46.0 %</t>
  </si>
  <si>
    <t>20.7 %</t>
  </si>
  <si>
    <t>9.50 %</t>
  </si>
  <si>
    <t>11.8 %</t>
  </si>
  <si>
    <t>5.42 %</t>
  </si>
  <si>
    <t>9.15 %</t>
  </si>
  <si>
    <t>3.21 %</t>
  </si>
  <si>
    <t>18.0 %</t>
  </si>
  <si>
    <t>8.28 %</t>
  </si>
  <si>
    <t>28.3 %</t>
  </si>
  <si>
    <t>0.37 %</t>
  </si>
  <si>
    <t>37.2 %</t>
  </si>
  <si>
    <t>22.8 %</t>
  </si>
  <si>
    <t>8.49 %</t>
  </si>
  <si>
    <t>10.0 %</t>
  </si>
  <si>
    <t>3.74 %</t>
  </si>
  <si>
    <t>97.3 %</t>
  </si>
  <si>
    <t>8.27 %</t>
  </si>
  <si>
    <t>16.7 %</t>
  </si>
  <si>
    <t>6.23 %</t>
  </si>
  <si>
    <t>0.33 %</t>
  </si>
  <si>
    <t>43.5 %</t>
  </si>
  <si>
    <t>7.25 %</t>
  </si>
  <si>
    <t>17.5 %</t>
  </si>
  <si>
    <t>7.62 %</t>
  </si>
  <si>
    <t>93.2 %</t>
  </si>
  <si>
    <t>6.76 %</t>
  </si>
  <si>
    <t>2.09 %</t>
  </si>
  <si>
    <t>15.8 %</t>
  </si>
  <si>
    <t>6.88 %</t>
  </si>
  <si>
    <t>31.8 %</t>
  </si>
  <si>
    <t>0.11 %</t>
  </si>
  <si>
    <t>45.3 %</t>
  </si>
  <si>
    <t>23.3 %</t>
  </si>
  <si>
    <t>7.55 %</t>
  </si>
  <si>
    <t>94.3 %</t>
  </si>
  <si>
    <t>9.97 %</t>
  </si>
  <si>
    <t>0.60 %</t>
  </si>
  <si>
    <t>8.67 %</t>
  </si>
  <si>
    <t>3.93 %</t>
  </si>
  <si>
    <t>32.5 %</t>
  </si>
  <si>
    <t>0.31 %</t>
  </si>
  <si>
    <t>44.6 %</t>
  </si>
  <si>
    <t>16.9 %</t>
  </si>
  <si>
    <t>7.56 %</t>
  </si>
  <si>
    <t>13.2 %</t>
  </si>
  <si>
    <t>5.90 %</t>
  </si>
  <si>
    <t>96.0 %</t>
  </si>
  <si>
    <t>7.26 %</t>
  </si>
  <si>
    <t>1.36 %</t>
  </si>
  <si>
    <t>18.3 %</t>
  </si>
  <si>
    <t>8.17 %</t>
  </si>
  <si>
    <t>31.0 %</t>
  </si>
  <si>
    <t>45.8 %</t>
  </si>
  <si>
    <t>26.7 %</t>
  </si>
  <si>
    <t>12.2 %</t>
  </si>
  <si>
    <t>23.7 %</t>
  </si>
  <si>
    <t>1.86 %</t>
  </si>
  <si>
    <t>5.01 %</t>
  </si>
  <si>
    <t>32.2 %</t>
  </si>
  <si>
    <t>0.44 %</t>
  </si>
  <si>
    <t>38.5 %</t>
  </si>
  <si>
    <t>13.8 %</t>
  </si>
  <si>
    <t>5.31 %</t>
  </si>
  <si>
    <t>24.8 %</t>
  </si>
  <si>
    <t>9.56 %</t>
  </si>
  <si>
    <t>100 %</t>
  </si>
  <si>
    <t>4.25 %</t>
  </si>
  <si>
    <t>30.4 %</t>
  </si>
  <si>
    <t>0.20 %</t>
  </si>
  <si>
    <t>30.8 %</t>
  </si>
  <si>
    <t>14.2 %</t>
  </si>
  <si>
    <t>21.6 %</t>
  </si>
  <si>
    <t>9.96 %</t>
  </si>
  <si>
    <t>96.1 %</t>
  </si>
  <si>
    <t>13.6 %</t>
  </si>
  <si>
    <t>0.66 %</t>
  </si>
  <si>
    <t>10.3 %</t>
  </si>
  <si>
    <t>4.76 %</t>
  </si>
  <si>
    <t>32.3 %</t>
  </si>
  <si>
    <t>0.61 %</t>
  </si>
  <si>
    <t>44.3 %</t>
  </si>
  <si>
    <t>7.53 %</t>
  </si>
  <si>
    <t>3.33 %</t>
  </si>
  <si>
    <t>12.9 %</t>
  </si>
  <si>
    <t>3.20 %</t>
  </si>
  <si>
    <t>0.48 %</t>
  </si>
  <si>
    <t>25.8 %</t>
  </si>
  <si>
    <t>11.4 %</t>
  </si>
  <si>
    <t>31.5 %</t>
  </si>
  <si>
    <t>0.25 %</t>
  </si>
  <si>
    <t>46.8 %</t>
  </si>
  <si>
    <t>5.63 %</t>
  </si>
  <si>
    <t>97.9 %</t>
  </si>
  <si>
    <t>6.62 %</t>
  </si>
  <si>
    <t>0.99 %</t>
  </si>
  <si>
    <t>21.4 %</t>
  </si>
  <si>
    <t>31.3 %</t>
  </si>
  <si>
    <t>0.57 %</t>
  </si>
  <si>
    <t>50.6 %</t>
  </si>
  <si>
    <t>7.92 %</t>
  </si>
  <si>
    <t>5.99 %</t>
  </si>
  <si>
    <t>98.1 %</t>
  </si>
  <si>
    <t>7.76 %</t>
  </si>
  <si>
    <t>0.28 %</t>
  </si>
  <si>
    <t>14.7 %</t>
  </si>
  <si>
    <t>7.43 %</t>
  </si>
  <si>
    <t>0.40 %</t>
  </si>
  <si>
    <t>7.47 %</t>
  </si>
  <si>
    <t>11.7 %</t>
  </si>
  <si>
    <t>5.20 %</t>
  </si>
  <si>
    <t>94.8 %</t>
  </si>
  <si>
    <t>7.08 %</t>
  </si>
  <si>
    <t>1.00 %</t>
  </si>
  <si>
    <t>22.1 %</t>
  </si>
  <si>
    <t>9.85 %</t>
  </si>
  <si>
    <t>34.9 %</t>
  </si>
  <si>
    <t>34.8 %</t>
  </si>
  <si>
    <t>3.49 %</t>
  </si>
  <si>
    <t>13.0 %</t>
  </si>
  <si>
    <t>4.54 %</t>
  </si>
  <si>
    <t>86.3 %</t>
  </si>
  <si>
    <t>3.01 %</t>
  </si>
  <si>
    <t>2.25 %</t>
  </si>
  <si>
    <t>24.0 %</t>
  </si>
  <si>
    <t>8.36 %</t>
  </si>
  <si>
    <t>30.6 %</t>
  </si>
  <si>
    <t>32.9 %</t>
  </si>
  <si>
    <t>12.5 %</t>
  </si>
  <si>
    <t>4.10 %</t>
  </si>
  <si>
    <t>4.00 %</t>
  </si>
  <si>
    <t>89.6 %</t>
  </si>
  <si>
    <t>3.94 %</t>
  </si>
  <si>
    <t>21.7 %</t>
  </si>
  <si>
    <t>7.14 %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</si>
</sst>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5" tint="0.39997558519241921"/>
      <name val="Helvetica"/>
      <family val="2"/>
    </font>
    <font>
      <sz val="12"/>
      <color theme="6" tint="0.39997558519241921"/>
      <name val="Helvetica"/>
      <family val="2"/>
    </font>
    <font>
      <sz val="12"/>
      <color theme="8" tint="0.39997558519241921"/>
      <name val="Helvetica"/>
      <family val="2"/>
    </font>
    <font>
      <sz val="14"/>
      <color theme="1"/>
      <name val="Helvetica"/>
      <family val="2"/>
    </font>
    <font>
      <sz val="12"/>
      <color theme="3" tint="0.39997558519241921"/>
      <name val="Helvetica"/>
      <family val="2"/>
    </font>
    <font>
      <sz val="12"/>
      <color rgb="FFFF8AD8"/>
      <name val="Helvetica"/>
      <family val="2"/>
    </font>
    <font>
      <sz val="14"/>
      <color theme="1"/>
      <name val="Aptos Narrow"/>
      <family val="2"/>
      <scheme val="minor"/>
    </font>
    <font>
      <b/>
      <sz val="14"/>
      <color theme="1"/>
      <name val="Helvetica"/>
      <family val="2"/>
    </font>
    <font>
      <sz val="14"/>
      <color theme="3" tint="0.499984740745262"/>
      <name val="Aptos Narrow"/>
      <family val="2"/>
      <scheme val="minor"/>
    </font>
    <font>
      <sz val="14"/>
      <color theme="3" tint="0.499984740745262"/>
      <name val="Helvetica"/>
      <family val="2"/>
    </font>
    <font>
      <sz val="14"/>
      <color theme="5" tint="0.39997558519241921"/>
      <name val="Aptos Narrow"/>
      <family val="2"/>
      <scheme val="minor"/>
    </font>
    <font>
      <sz val="14"/>
      <color theme="5" tint="0.39997558519241921"/>
      <name val="Helvetica"/>
      <family val="2"/>
    </font>
    <font>
      <sz val="14"/>
      <color theme="6" tint="0.39997558519241921"/>
      <name val="Aptos Narrow"/>
      <family val="2"/>
      <scheme val="minor"/>
    </font>
    <font>
      <sz val="14"/>
      <color theme="6" tint="0.39997558519241921"/>
      <name val="Helvetica"/>
      <family val="2"/>
    </font>
    <font>
      <sz val="14"/>
      <color theme="8" tint="0.39997558519241921"/>
      <name val="Aptos Narrow"/>
      <family val="2"/>
      <scheme val="minor"/>
    </font>
    <font>
      <sz val="14"/>
      <color theme="8" tint="0.39997558519241921"/>
      <name val="Helvetica"/>
      <family val="2"/>
    </font>
    <font>
      <sz val="16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10" fillId="0" borderId="0" xfId="0" applyFont="1"/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0" fillId="0" borderId="0" xfId="0" applyFont="1"/>
    <xf numFmtId="0" fontId="1" fillId="0" borderId="0" xfId="0" applyFont="1"/>
    <xf numFmtId="0" fontId="21" fillId="0" borderId="0" xfId="0" applyFont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5" fillId="0" borderId="18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3" fillId="0" borderId="19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3" fillId="0" borderId="20" xfId="0" applyFont="1" applyBorder="1" applyAlignment="1">
      <alignment horizontal="center" wrapText="1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14" fontId="7" fillId="0" borderId="12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ED0F-1CD2-FC48-91D6-9591FA085356}">
  <dimension ref="B1:I42"/>
  <sheetViews>
    <sheetView topLeftCell="A3" workbookViewId="0">
      <selection activeCell="D24" sqref="D24"/>
    </sheetView>
  </sheetViews>
  <sheetFormatPr defaultColWidth="10.875" defaultRowHeight="18.95"/>
  <cols>
    <col min="1" max="1" width="10.875" style="17"/>
    <col min="2" max="2" width="26.125" style="17" customWidth="1"/>
    <col min="3" max="3" width="17.5" style="17" customWidth="1"/>
    <col min="4" max="4" width="20.875" style="17" customWidth="1"/>
    <col min="5" max="6" width="10.875" style="17"/>
    <col min="7" max="7" width="18.625" style="17" customWidth="1"/>
    <col min="8" max="16384" width="10.875" style="17"/>
  </cols>
  <sheetData>
    <row r="1" spans="2:5" ht="20.100000000000001" thickBot="1"/>
    <row r="2" spans="2:5">
      <c r="B2" s="18" t="s">
        <v>0</v>
      </c>
      <c r="C2" s="69" t="s">
        <v>1</v>
      </c>
    </row>
    <row r="3" spans="2:5">
      <c r="B3" s="19" t="s">
        <v>2</v>
      </c>
      <c r="C3" s="68">
        <v>46183</v>
      </c>
    </row>
    <row r="4" spans="2:5">
      <c r="B4" s="19" t="s">
        <v>3</v>
      </c>
      <c r="C4" s="20">
        <v>8</v>
      </c>
    </row>
    <row r="5" spans="2:5">
      <c r="B5" s="19" t="s">
        <v>4</v>
      </c>
      <c r="C5" s="20">
        <v>3</v>
      </c>
    </row>
    <row r="6" spans="2:5" ht="20.100000000000001" thickBot="1">
      <c r="B6" s="21" t="s">
        <v>5</v>
      </c>
      <c r="C6" s="22" t="s">
        <v>6</v>
      </c>
    </row>
    <row r="7" spans="2:5" ht="18.75"/>
    <row r="8" spans="2:5" ht="18.75">
      <c r="B8" s="23" t="s">
        <v>7</v>
      </c>
      <c r="C8" s="23" t="s">
        <v>8</v>
      </c>
      <c r="D8" s="24" t="s">
        <v>9</v>
      </c>
      <c r="E8" s="35" t="s">
        <v>10</v>
      </c>
    </row>
    <row r="9" spans="2:5" ht="20.25" customHeight="1">
      <c r="B9" s="36">
        <v>11130</v>
      </c>
      <c r="C9" s="36">
        <v>11130</v>
      </c>
      <c r="D9" s="37" t="s">
        <v>11</v>
      </c>
      <c r="E9" s="47" t="s">
        <v>12</v>
      </c>
    </row>
    <row r="10" spans="2:5" ht="20.25" customHeight="1">
      <c r="B10" s="38">
        <v>11131</v>
      </c>
      <c r="C10" s="38">
        <v>11131</v>
      </c>
      <c r="D10" s="31" t="s">
        <v>11</v>
      </c>
      <c r="E10" s="48" t="s">
        <v>12</v>
      </c>
    </row>
    <row r="11" spans="2:5" ht="20.25" customHeight="1">
      <c r="B11" s="38">
        <v>11132</v>
      </c>
      <c r="C11" s="38">
        <v>11132</v>
      </c>
      <c r="D11" s="31" t="s">
        <v>11</v>
      </c>
      <c r="E11" s="48" t="s">
        <v>12</v>
      </c>
    </row>
    <row r="12" spans="2:5" ht="20.25" customHeight="1">
      <c r="B12" s="38">
        <v>11133</v>
      </c>
      <c r="C12" s="38">
        <v>11133</v>
      </c>
      <c r="D12" s="31" t="s">
        <v>11</v>
      </c>
      <c r="E12" s="48" t="s">
        <v>12</v>
      </c>
    </row>
    <row r="13" spans="2:5" ht="20.25" customHeight="1">
      <c r="B13" s="38">
        <v>11134</v>
      </c>
      <c r="C13" s="38">
        <v>11134</v>
      </c>
      <c r="D13" s="31" t="s">
        <v>11</v>
      </c>
      <c r="E13" s="48" t="s">
        <v>12</v>
      </c>
    </row>
    <row r="14" spans="2:5" ht="20.25" customHeight="1">
      <c r="B14" s="39">
        <v>11135</v>
      </c>
      <c r="C14" s="39">
        <v>11135</v>
      </c>
      <c r="D14" s="40" t="s">
        <v>11</v>
      </c>
      <c r="E14" s="49" t="s">
        <v>12</v>
      </c>
    </row>
    <row r="15" spans="2:5" ht="20.25" customHeight="1">
      <c r="B15" s="53">
        <v>11136</v>
      </c>
      <c r="C15" s="53">
        <v>11136</v>
      </c>
      <c r="D15" s="41" t="s">
        <v>13</v>
      </c>
      <c r="E15" s="50" t="s">
        <v>12</v>
      </c>
    </row>
    <row r="16" spans="2:5" ht="20.25" customHeight="1">
      <c r="B16" s="54">
        <v>11137</v>
      </c>
      <c r="C16" s="54">
        <v>11137</v>
      </c>
      <c r="D16" s="32" t="s">
        <v>13</v>
      </c>
      <c r="E16" s="51" t="s">
        <v>12</v>
      </c>
    </row>
    <row r="17" spans="2:5" ht="20.25" customHeight="1">
      <c r="B17" s="54">
        <v>11138</v>
      </c>
      <c r="C17" s="54">
        <v>11138</v>
      </c>
      <c r="D17" s="32" t="s">
        <v>13</v>
      </c>
      <c r="E17" s="51" t="s">
        <v>12</v>
      </c>
    </row>
    <row r="18" spans="2:5" ht="20.25" customHeight="1">
      <c r="B18" s="54">
        <v>11139</v>
      </c>
      <c r="C18" s="54">
        <v>11139</v>
      </c>
      <c r="D18" s="32" t="s">
        <v>13</v>
      </c>
      <c r="E18" s="51" t="s">
        <v>12</v>
      </c>
    </row>
    <row r="19" spans="2:5" ht="20.25" customHeight="1">
      <c r="B19" s="54">
        <v>11140</v>
      </c>
      <c r="C19" s="54">
        <v>11140</v>
      </c>
      <c r="D19" s="32" t="s">
        <v>13</v>
      </c>
      <c r="E19" s="51" t="s">
        <v>12</v>
      </c>
    </row>
    <row r="20" spans="2:5" ht="20.25" customHeight="1">
      <c r="B20" s="55">
        <v>11141</v>
      </c>
      <c r="C20" s="55">
        <v>11141</v>
      </c>
      <c r="D20" s="42" t="s">
        <v>13</v>
      </c>
      <c r="E20" s="52" t="s">
        <v>12</v>
      </c>
    </row>
    <row r="21" spans="2:5" ht="20.25" customHeight="1">
      <c r="B21" s="59">
        <v>11142</v>
      </c>
      <c r="C21" s="59">
        <v>11142</v>
      </c>
      <c r="D21" s="43" t="s">
        <v>14</v>
      </c>
      <c r="E21" s="56" t="s">
        <v>12</v>
      </c>
    </row>
    <row r="22" spans="2:5" ht="20.25" customHeight="1">
      <c r="B22" s="60">
        <v>11143</v>
      </c>
      <c r="C22" s="60">
        <v>11143</v>
      </c>
      <c r="D22" s="33" t="s">
        <v>14</v>
      </c>
      <c r="E22" s="57" t="s">
        <v>12</v>
      </c>
    </row>
    <row r="23" spans="2:5" ht="20.25" customHeight="1">
      <c r="B23" s="60">
        <v>11144</v>
      </c>
      <c r="C23" s="60">
        <v>11144</v>
      </c>
      <c r="D23" s="33" t="s">
        <v>14</v>
      </c>
      <c r="E23" s="57" t="s">
        <v>12</v>
      </c>
    </row>
    <row r="24" spans="2:5" ht="20.25" customHeight="1">
      <c r="B24" s="60">
        <v>11145</v>
      </c>
      <c r="C24" s="60">
        <v>11145</v>
      </c>
      <c r="D24" s="33" t="s">
        <v>14</v>
      </c>
      <c r="E24" s="57" t="s">
        <v>12</v>
      </c>
    </row>
    <row r="25" spans="2:5" ht="20.25" customHeight="1">
      <c r="B25" s="60">
        <v>11146</v>
      </c>
      <c r="C25" s="60">
        <v>11146</v>
      </c>
      <c r="D25" s="33" t="s">
        <v>14</v>
      </c>
      <c r="E25" s="57" t="s">
        <v>12</v>
      </c>
    </row>
    <row r="26" spans="2:5" ht="20.25" customHeight="1">
      <c r="B26" s="61">
        <v>11147</v>
      </c>
      <c r="C26" s="61">
        <v>11147</v>
      </c>
      <c r="D26" s="44" t="s">
        <v>14</v>
      </c>
      <c r="E26" s="58" t="s">
        <v>12</v>
      </c>
    </row>
    <row r="27" spans="2:5" ht="20.25" customHeight="1">
      <c r="B27" s="62">
        <v>11148</v>
      </c>
      <c r="C27" s="62">
        <v>11148</v>
      </c>
      <c r="D27" s="45" t="s">
        <v>15</v>
      </c>
      <c r="E27" s="63" t="s">
        <v>12</v>
      </c>
    </row>
    <row r="28" spans="2:5" ht="20.25" customHeight="1">
      <c r="B28" s="64">
        <v>11149</v>
      </c>
      <c r="C28" s="64">
        <v>11149</v>
      </c>
      <c r="D28" s="34" t="s">
        <v>15</v>
      </c>
      <c r="E28" s="65" t="s">
        <v>12</v>
      </c>
    </row>
    <row r="29" spans="2:5" ht="20.25" customHeight="1">
      <c r="B29" s="64">
        <v>11150</v>
      </c>
      <c r="C29" s="64">
        <v>11150</v>
      </c>
      <c r="D29" s="34" t="s">
        <v>15</v>
      </c>
      <c r="E29" s="65" t="s">
        <v>12</v>
      </c>
    </row>
    <row r="30" spans="2:5" ht="20.25" customHeight="1">
      <c r="B30" s="64">
        <v>11151</v>
      </c>
      <c r="C30" s="64">
        <v>11151</v>
      </c>
      <c r="D30" s="34" t="s">
        <v>15</v>
      </c>
      <c r="E30" s="65" t="s">
        <v>12</v>
      </c>
    </row>
    <row r="31" spans="2:5" ht="20.25" customHeight="1">
      <c r="B31" s="64">
        <v>11152</v>
      </c>
      <c r="C31" s="64">
        <v>11152</v>
      </c>
      <c r="D31" s="34" t="s">
        <v>15</v>
      </c>
      <c r="E31" s="65" t="s">
        <v>12</v>
      </c>
    </row>
    <row r="32" spans="2:5" ht="20.25" customHeight="1">
      <c r="B32" s="66">
        <v>11153</v>
      </c>
      <c r="C32" s="66">
        <v>11153</v>
      </c>
      <c r="D32" s="46" t="s">
        <v>15</v>
      </c>
      <c r="E32" s="67" t="s">
        <v>12</v>
      </c>
    </row>
    <row r="33" spans="2:9" ht="18.75"/>
    <row r="34" spans="2:9">
      <c r="B34" s="8" t="s">
        <v>16</v>
      </c>
      <c r="C34" s="9"/>
      <c r="D34" s="10"/>
    </row>
    <row r="35" spans="2:9">
      <c r="B35" s="11" t="s">
        <v>17</v>
      </c>
      <c r="C35" s="12"/>
      <c r="D35" s="13"/>
    </row>
    <row r="36" spans="2:9">
      <c r="B36" s="11" t="s">
        <v>18</v>
      </c>
      <c r="C36" s="12"/>
      <c r="D36" s="13"/>
    </row>
    <row r="37" spans="2:9" ht="20.100000000000001" thickBot="1">
      <c r="B37" s="14" t="s">
        <v>19</v>
      </c>
      <c r="C37" s="15"/>
      <c r="D37" s="16"/>
      <c r="I37" s="17" t="s">
        <v>20</v>
      </c>
    </row>
    <row r="38" spans="2:9" ht="20.100000000000001" thickBot="1"/>
    <row r="39" spans="2:9">
      <c r="B39" s="8" t="s">
        <v>21</v>
      </c>
      <c r="C39" s="9"/>
      <c r="D39" s="9"/>
      <c r="E39" s="9"/>
      <c r="F39" s="9"/>
      <c r="G39" s="10"/>
    </row>
    <row r="40" spans="2:9">
      <c r="B40" s="11" t="s">
        <v>22</v>
      </c>
      <c r="C40" s="12"/>
      <c r="D40" s="12"/>
      <c r="E40" s="12"/>
      <c r="F40" s="12"/>
      <c r="G40" s="13"/>
    </row>
    <row r="41" spans="2:9">
      <c r="B41" s="11" t="s">
        <v>23</v>
      </c>
      <c r="C41" s="12"/>
      <c r="D41" s="12"/>
      <c r="E41" s="12"/>
      <c r="F41" s="12"/>
      <c r="G41" s="13"/>
    </row>
    <row r="42" spans="2:9" ht="20.100000000000001" thickBot="1">
      <c r="B42" s="14" t="s">
        <v>24</v>
      </c>
      <c r="C42" s="15"/>
      <c r="D42" s="15"/>
      <c r="E42" s="15"/>
      <c r="F42" s="15"/>
      <c r="G4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6052-5564-1642-BA15-1F47789637A9}">
  <dimension ref="B1:D14"/>
  <sheetViews>
    <sheetView workbookViewId="0">
      <selection sqref="A1:XFD1048576"/>
    </sheetView>
  </sheetViews>
  <sheetFormatPr defaultColWidth="10.875" defaultRowHeight="15.95"/>
  <cols>
    <col min="1" max="1" width="10.875" style="27"/>
    <col min="2" max="2" width="29" style="27" customWidth="1"/>
    <col min="3" max="3" width="34.375" style="27" customWidth="1"/>
    <col min="4" max="4" width="99.625" style="27" customWidth="1"/>
    <col min="5" max="16384" width="10.875" style="27"/>
  </cols>
  <sheetData>
    <row r="1" spans="2:4" ht="21">
      <c r="B1" s="26" t="s">
        <v>25</v>
      </c>
    </row>
    <row r="2" spans="2:4">
      <c r="B2" s="28" t="s">
        <v>26</v>
      </c>
      <c r="C2" s="28" t="s">
        <v>27</v>
      </c>
      <c r="D2" s="28" t="s">
        <v>28</v>
      </c>
    </row>
    <row r="3" spans="2:4">
      <c r="B3" s="27" t="s">
        <v>29</v>
      </c>
      <c r="C3" s="27" t="s">
        <v>30</v>
      </c>
      <c r="D3" s="27" t="s">
        <v>31</v>
      </c>
    </row>
    <row r="4" spans="2:4">
      <c r="B4" s="27" t="s">
        <v>32</v>
      </c>
      <c r="C4" s="27" t="s">
        <v>33</v>
      </c>
      <c r="D4" s="27" t="s">
        <v>34</v>
      </c>
    </row>
    <row r="5" spans="2:4">
      <c r="C5" s="27" t="s">
        <v>35</v>
      </c>
      <c r="D5" s="27" t="s">
        <v>36</v>
      </c>
    </row>
    <row r="6" spans="2:4">
      <c r="C6" s="27" t="s">
        <v>37</v>
      </c>
      <c r="D6" s="27" t="s">
        <v>38</v>
      </c>
    </row>
    <row r="7" spans="2:4">
      <c r="C7" s="27" t="s">
        <v>39</v>
      </c>
      <c r="D7" s="27" t="s">
        <v>40</v>
      </c>
    </row>
    <row r="8" spans="2:4">
      <c r="C8" s="27" t="s">
        <v>41</v>
      </c>
      <c r="D8" s="27" t="s">
        <v>42</v>
      </c>
    </row>
    <row r="9" spans="2:4">
      <c r="C9" s="27" t="s">
        <v>43</v>
      </c>
      <c r="D9" s="27" t="s">
        <v>44</v>
      </c>
    </row>
    <row r="11" spans="2:4" ht="21">
      <c r="B11" s="26" t="s">
        <v>45</v>
      </c>
    </row>
    <row r="12" spans="2:4">
      <c r="B12" s="28" t="s">
        <v>46</v>
      </c>
      <c r="C12" s="28" t="s">
        <v>28</v>
      </c>
    </row>
    <row r="13" spans="2:4">
      <c r="B13" s="27" t="s">
        <v>47</v>
      </c>
      <c r="C13" s="27" t="s">
        <v>48</v>
      </c>
    </row>
    <row r="14" spans="2:4">
      <c r="B14" s="27" t="s">
        <v>49</v>
      </c>
      <c r="C14" s="2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F466-78C1-E649-AD5F-7A3A4E99EF7A}">
  <dimension ref="A1:AB41"/>
  <sheetViews>
    <sheetView tabSelected="1" workbookViewId="0">
      <selection activeCell="K30" sqref="K30"/>
    </sheetView>
  </sheetViews>
  <sheetFormatPr defaultColWidth="10.875" defaultRowHeight="15.95"/>
  <cols>
    <col min="1" max="1" width="10.875" style="4"/>
    <col min="2" max="2" width="18" style="4" customWidth="1"/>
    <col min="3" max="3" width="12.5" style="4" customWidth="1"/>
    <col min="4" max="4" width="11" style="4" customWidth="1"/>
    <col min="5" max="6" width="10.875" style="4"/>
    <col min="7" max="7" width="11.5" style="4" customWidth="1"/>
    <col min="8" max="16384" width="10.875" style="4"/>
  </cols>
  <sheetData>
    <row r="1" spans="1:28" s="29" customFormat="1" ht="119.1">
      <c r="A1" s="29" t="s">
        <v>7</v>
      </c>
      <c r="B1" s="29" t="s">
        <v>9</v>
      </c>
      <c r="C1" s="29" t="s">
        <v>51</v>
      </c>
      <c r="D1" s="29" t="s">
        <v>52</v>
      </c>
      <c r="E1" s="29" t="s">
        <v>53</v>
      </c>
      <c r="F1" s="29" t="s">
        <v>54</v>
      </c>
      <c r="G1" s="29" t="s">
        <v>55</v>
      </c>
      <c r="H1" s="29" t="s">
        <v>56</v>
      </c>
      <c r="I1" s="29" t="s">
        <v>57</v>
      </c>
      <c r="J1" s="29" t="s">
        <v>58</v>
      </c>
      <c r="K1" s="29" t="s">
        <v>59</v>
      </c>
      <c r="L1" s="1" t="s">
        <v>60</v>
      </c>
      <c r="M1" s="29" t="s">
        <v>61</v>
      </c>
      <c r="N1" s="29" t="s">
        <v>62</v>
      </c>
      <c r="O1" s="29" t="s">
        <v>63</v>
      </c>
      <c r="P1" s="29" t="s">
        <v>64</v>
      </c>
      <c r="Q1" s="29" t="s">
        <v>65</v>
      </c>
      <c r="R1" s="29" t="s">
        <v>66</v>
      </c>
      <c r="S1" s="29" t="s">
        <v>67</v>
      </c>
      <c r="T1" s="29" t="s">
        <v>68</v>
      </c>
      <c r="U1" s="30" t="s">
        <v>69</v>
      </c>
      <c r="V1" s="30" t="s">
        <v>70</v>
      </c>
      <c r="W1" s="30" t="s">
        <v>71</v>
      </c>
      <c r="X1" s="30" t="s">
        <v>72</v>
      </c>
      <c r="Y1" s="30" t="s">
        <v>73</v>
      </c>
      <c r="Z1" s="30" t="s">
        <v>74</v>
      </c>
      <c r="AA1" s="30" t="s">
        <v>75</v>
      </c>
      <c r="AB1" s="30" t="s">
        <v>76</v>
      </c>
    </row>
    <row r="2" spans="1:28" s="2" customFormat="1" ht="17.100000000000001">
      <c r="A2" s="2">
        <v>11130</v>
      </c>
      <c r="B2" s="3" t="s">
        <v>11</v>
      </c>
      <c r="C2" s="2">
        <v>110906</v>
      </c>
      <c r="D2" s="2">
        <v>1264</v>
      </c>
      <c r="E2" s="2">
        <f>C2/D2</f>
        <v>87.742088607594937</v>
      </c>
      <c r="F2" s="2">
        <f>(150/5*20)*E2</f>
        <v>52645.253164556962</v>
      </c>
      <c r="G2" s="2">
        <f>F2*H2</f>
        <v>5264525.3164556958</v>
      </c>
      <c r="H2" s="2">
        <v>100</v>
      </c>
      <c r="I2" s="2" t="s">
        <v>77</v>
      </c>
      <c r="J2" s="2">
        <f>I2*G2</f>
        <v>1458273.5126582279</v>
      </c>
      <c r="K2" s="2" t="s">
        <v>78</v>
      </c>
      <c r="L2" s="2">
        <f>K2*J2</f>
        <v>6124.7487531645565</v>
      </c>
      <c r="M2" s="2" t="s">
        <v>79</v>
      </c>
      <c r="N2" s="2">
        <f>M2*L2</f>
        <v>2094.6640735822784</v>
      </c>
      <c r="O2" s="2" t="s">
        <v>80</v>
      </c>
      <c r="P2" s="2" t="s">
        <v>81</v>
      </c>
      <c r="Q2" s="2">
        <f>P2*L2</f>
        <v>575.11390792215184</v>
      </c>
      <c r="R2" s="2" t="s">
        <v>82</v>
      </c>
      <c r="S2" s="2" t="s">
        <v>83</v>
      </c>
      <c r="T2" s="2">
        <f>S2*L2</f>
        <v>249.88974912911394</v>
      </c>
      <c r="U2" s="2" t="s">
        <v>84</v>
      </c>
      <c r="V2" s="2" t="s">
        <v>85</v>
      </c>
      <c r="W2" s="2">
        <f>V2*L2</f>
        <v>556.73966166265814</v>
      </c>
      <c r="X2" s="2" t="s">
        <v>86</v>
      </c>
      <c r="Y2" s="2">
        <f>X2*L2</f>
        <v>278.67606826898731</v>
      </c>
      <c r="Z2" s="2" t="s">
        <v>87</v>
      </c>
      <c r="AA2" s="2" t="s">
        <v>88</v>
      </c>
      <c r="AB2" s="2">
        <f>AA2*L2</f>
        <v>415.25796546455695</v>
      </c>
    </row>
    <row r="3" spans="1:28" s="2" customFormat="1" ht="17.100000000000001">
      <c r="A3" s="2">
        <v>11131</v>
      </c>
      <c r="B3" s="3" t="s">
        <v>11</v>
      </c>
      <c r="C3" s="2">
        <v>63283</v>
      </c>
      <c r="D3" s="2">
        <v>949</v>
      </c>
      <c r="E3" s="2">
        <f t="shared" ref="E3:E25" si="0">C3/D3</f>
        <v>66.683877766069543</v>
      </c>
      <c r="F3" s="2">
        <f t="shared" ref="F3:F25" si="1">(150/5*20)*E3</f>
        <v>40010.326659641723</v>
      </c>
      <c r="G3" s="2">
        <f t="shared" ref="G3:G25" si="2">F3*H3</f>
        <v>4001032.6659641722</v>
      </c>
      <c r="H3" s="2">
        <v>100</v>
      </c>
      <c r="I3" s="2" t="s">
        <v>89</v>
      </c>
      <c r="J3" s="2">
        <f t="shared" ref="J3:J25" si="3">I3*G3</f>
        <v>1156298.4404636456</v>
      </c>
      <c r="K3" s="2" t="s">
        <v>90</v>
      </c>
      <c r="L3" s="2">
        <f t="shared" ref="L3:L25" si="4">K3*J3</f>
        <v>6244.0115785036869</v>
      </c>
      <c r="M3" s="2" t="s">
        <v>91</v>
      </c>
      <c r="N3" s="2">
        <f t="shared" ref="N3:N25" si="5">M3*L3</f>
        <v>2222.8681219473124</v>
      </c>
      <c r="O3" s="2" t="s">
        <v>92</v>
      </c>
      <c r="P3" s="2" t="s">
        <v>93</v>
      </c>
      <c r="Q3" s="2">
        <f t="shared" ref="Q3:Q25" si="6">P3*L3</f>
        <v>420.8463803911485</v>
      </c>
      <c r="R3" s="2" t="s">
        <v>94</v>
      </c>
      <c r="S3" s="2" t="s">
        <v>95</v>
      </c>
      <c r="T3" s="2">
        <f t="shared" ref="T3:T25" si="7">S3*L3</f>
        <v>267.86809671780816</v>
      </c>
      <c r="U3" s="2" t="s">
        <v>96</v>
      </c>
      <c r="V3" s="2" t="s">
        <v>97</v>
      </c>
      <c r="W3" s="2">
        <f t="shared" ref="W3:W25" si="8">V3*L3</f>
        <v>405.23635144488929</v>
      </c>
      <c r="X3" s="2" t="s">
        <v>98</v>
      </c>
      <c r="Y3" s="2">
        <f t="shared" ref="Y3:Y25" si="9">X3*L3</f>
        <v>335.30342176564795</v>
      </c>
      <c r="Z3" s="2" t="s">
        <v>99</v>
      </c>
      <c r="AA3" s="2" t="s">
        <v>100</v>
      </c>
      <c r="AB3" s="2">
        <f t="shared" ref="AB3:AB25" si="10">AA3*L3</f>
        <v>465.17886259852463</v>
      </c>
    </row>
    <row r="4" spans="1:28" s="2" customFormat="1" ht="17.100000000000001">
      <c r="A4" s="2">
        <v>11132</v>
      </c>
      <c r="B4" s="3" t="s">
        <v>11</v>
      </c>
      <c r="C4" s="2">
        <v>51463</v>
      </c>
      <c r="D4" s="2">
        <v>960</v>
      </c>
      <c r="E4" s="2">
        <f t="shared" si="0"/>
        <v>53.607291666666669</v>
      </c>
      <c r="F4" s="2">
        <f t="shared" si="1"/>
        <v>32164.375</v>
      </c>
      <c r="G4" s="2">
        <f t="shared" si="2"/>
        <v>3216437.5</v>
      </c>
      <c r="H4" s="2">
        <v>100</v>
      </c>
      <c r="I4" s="2" t="s">
        <v>101</v>
      </c>
      <c r="J4" s="2">
        <f t="shared" si="3"/>
        <v>948849.0625</v>
      </c>
      <c r="K4" s="2" t="s">
        <v>102</v>
      </c>
      <c r="L4" s="2">
        <f t="shared" si="4"/>
        <v>2087.4679375000001</v>
      </c>
      <c r="M4" s="2" t="s">
        <v>103</v>
      </c>
      <c r="N4" s="2">
        <f t="shared" si="5"/>
        <v>843.33704675000013</v>
      </c>
      <c r="O4" s="2" t="s">
        <v>104</v>
      </c>
      <c r="P4" s="2" t="s">
        <v>105</v>
      </c>
      <c r="Q4" s="2">
        <f t="shared" si="6"/>
        <v>219.18413343750001</v>
      </c>
      <c r="R4" s="2" t="s">
        <v>106</v>
      </c>
      <c r="S4" s="2" t="s">
        <v>107</v>
      </c>
      <c r="T4" s="2">
        <f t="shared" si="7"/>
        <v>119.19441923125</v>
      </c>
      <c r="U4" s="2" t="s">
        <v>108</v>
      </c>
      <c r="V4" s="2" t="s">
        <v>109</v>
      </c>
      <c r="W4" s="2">
        <f t="shared" si="8"/>
        <v>212.92172962499998</v>
      </c>
      <c r="X4" s="2" t="s">
        <v>110</v>
      </c>
      <c r="Y4" s="2">
        <f t="shared" si="9"/>
        <v>76.192579718749997</v>
      </c>
      <c r="Z4" s="2" t="s">
        <v>111</v>
      </c>
      <c r="AA4" s="2" t="s">
        <v>112</v>
      </c>
      <c r="AB4" s="2">
        <f t="shared" si="10"/>
        <v>207.28556619375001</v>
      </c>
    </row>
    <row r="5" spans="1:28" s="2" customFormat="1" ht="17.100000000000001">
      <c r="A5" s="2">
        <v>11133</v>
      </c>
      <c r="B5" s="3" t="s">
        <v>11</v>
      </c>
      <c r="C5" s="2">
        <v>77147</v>
      </c>
      <c r="D5" s="2">
        <v>955</v>
      </c>
      <c r="E5" s="2">
        <f t="shared" si="0"/>
        <v>80.782198952879583</v>
      </c>
      <c r="F5" s="2">
        <f t="shared" si="1"/>
        <v>48469.319371727746</v>
      </c>
      <c r="G5" s="2">
        <f t="shared" si="2"/>
        <v>4846931.9371727742</v>
      </c>
      <c r="H5" s="2">
        <v>100</v>
      </c>
      <c r="I5" s="2" t="s">
        <v>113</v>
      </c>
      <c r="J5" s="2">
        <f t="shared" si="3"/>
        <v>1226273.7801047119</v>
      </c>
      <c r="K5" s="2" t="s">
        <v>78</v>
      </c>
      <c r="L5" s="2">
        <f t="shared" si="4"/>
        <v>5150.34987643979</v>
      </c>
      <c r="M5" s="2" t="s">
        <v>114</v>
      </c>
      <c r="N5" s="2">
        <f t="shared" si="5"/>
        <v>2008.6364518115181</v>
      </c>
      <c r="O5" s="2" t="s">
        <v>115</v>
      </c>
      <c r="P5" s="2" t="s">
        <v>116</v>
      </c>
      <c r="Q5" s="2">
        <f t="shared" si="6"/>
        <v>571.68883628481672</v>
      </c>
      <c r="R5" s="2" t="s">
        <v>117</v>
      </c>
      <c r="S5" s="2" t="s">
        <v>118</v>
      </c>
      <c r="T5" s="2">
        <f t="shared" si="7"/>
        <v>346.10351169675386</v>
      </c>
      <c r="U5" s="2" t="s">
        <v>119</v>
      </c>
      <c r="V5" s="2" t="s">
        <v>120</v>
      </c>
      <c r="W5" s="2">
        <f t="shared" si="8"/>
        <v>561.38813653193711</v>
      </c>
      <c r="X5" s="2" t="s">
        <v>121</v>
      </c>
      <c r="Y5" s="2">
        <f t="shared" si="9"/>
        <v>468.68183875602085</v>
      </c>
      <c r="Z5" s="2" t="s">
        <v>122</v>
      </c>
      <c r="AA5" s="2" t="s">
        <v>123</v>
      </c>
      <c r="AB5" s="2">
        <f t="shared" si="10"/>
        <v>216.82972979811515</v>
      </c>
    </row>
    <row r="6" spans="1:28" s="2" customFormat="1" ht="17.100000000000001">
      <c r="A6" s="2">
        <v>11134</v>
      </c>
      <c r="B6" s="3" t="s">
        <v>11</v>
      </c>
      <c r="C6" s="2">
        <v>174097</v>
      </c>
      <c r="D6" s="2">
        <v>944</v>
      </c>
      <c r="E6" s="2">
        <f t="shared" si="0"/>
        <v>184.42478813559322</v>
      </c>
      <c r="F6" s="2">
        <f t="shared" si="1"/>
        <v>110654.87288135593</v>
      </c>
      <c r="G6" s="2">
        <f t="shared" si="2"/>
        <v>11065487.288135592</v>
      </c>
      <c r="H6" s="2">
        <v>100</v>
      </c>
      <c r="I6" s="2" t="s">
        <v>124</v>
      </c>
      <c r="J6" s="2">
        <f t="shared" si="3"/>
        <v>2666782.4364406774</v>
      </c>
      <c r="K6" s="2" t="s">
        <v>125</v>
      </c>
      <c r="L6" s="2">
        <f t="shared" si="4"/>
        <v>18400.798811440673</v>
      </c>
      <c r="M6" s="2" t="s">
        <v>126</v>
      </c>
      <c r="N6" s="2">
        <f t="shared" si="5"/>
        <v>6642.6883709300828</v>
      </c>
      <c r="O6" s="2" t="s">
        <v>127</v>
      </c>
      <c r="P6" s="2" t="s">
        <v>128</v>
      </c>
      <c r="Q6" s="2">
        <f t="shared" si="6"/>
        <v>1451.8230262226691</v>
      </c>
      <c r="R6" s="2" t="s">
        <v>129</v>
      </c>
      <c r="S6" s="2" t="s">
        <v>130</v>
      </c>
      <c r="T6" s="2">
        <f t="shared" si="7"/>
        <v>964.20185771949127</v>
      </c>
      <c r="U6" s="2" t="s">
        <v>131</v>
      </c>
      <c r="V6" s="2" t="s">
        <v>132</v>
      </c>
      <c r="W6" s="2">
        <f t="shared" si="8"/>
        <v>1341.4182333540252</v>
      </c>
      <c r="X6" s="2" t="s">
        <v>133</v>
      </c>
      <c r="Y6" s="2">
        <f t="shared" si="9"/>
        <v>1306.4567156122876</v>
      </c>
      <c r="Z6" s="2" t="s">
        <v>134</v>
      </c>
      <c r="AA6" s="2" t="s">
        <v>135</v>
      </c>
      <c r="AB6" s="2">
        <f t="shared" si="10"/>
        <v>1207.0924020305083</v>
      </c>
    </row>
    <row r="7" spans="1:28" s="2" customFormat="1" ht="17.100000000000001">
      <c r="A7" s="2">
        <v>11135</v>
      </c>
      <c r="B7" s="3" t="s">
        <v>11</v>
      </c>
      <c r="C7" s="2">
        <v>84660</v>
      </c>
      <c r="D7" s="2">
        <v>954</v>
      </c>
      <c r="E7" s="2">
        <f t="shared" si="0"/>
        <v>88.742138364779876</v>
      </c>
      <c r="F7" s="2">
        <f t="shared" si="1"/>
        <v>53245.283018867929</v>
      </c>
      <c r="G7" s="2">
        <f t="shared" si="2"/>
        <v>5324528.3018867932</v>
      </c>
      <c r="H7" s="2">
        <v>100</v>
      </c>
      <c r="I7" s="2" t="s">
        <v>77</v>
      </c>
      <c r="J7" s="2">
        <f t="shared" si="3"/>
        <v>1474894.3396226419</v>
      </c>
      <c r="K7" s="2" t="s">
        <v>136</v>
      </c>
      <c r="L7" s="2">
        <f t="shared" si="4"/>
        <v>7816.9400000000023</v>
      </c>
      <c r="M7" s="2" t="s">
        <v>137</v>
      </c>
      <c r="N7" s="2">
        <f t="shared" si="5"/>
        <v>2360.7158800000007</v>
      </c>
      <c r="O7" s="2" t="s">
        <v>138</v>
      </c>
      <c r="P7" s="2" t="s">
        <v>139</v>
      </c>
      <c r="Q7" s="2">
        <f t="shared" si="6"/>
        <v>339.25519600000013</v>
      </c>
      <c r="R7" s="2" t="s">
        <v>140</v>
      </c>
      <c r="S7" s="2" t="s">
        <v>141</v>
      </c>
      <c r="T7" s="2">
        <f t="shared" si="7"/>
        <v>259.5224080000001</v>
      </c>
      <c r="U7" s="2" t="s">
        <v>142</v>
      </c>
      <c r="V7" s="2" t="s">
        <v>143</v>
      </c>
      <c r="W7" s="2">
        <f t="shared" si="8"/>
        <v>330.65656200000006</v>
      </c>
      <c r="X7" s="2" t="s">
        <v>144</v>
      </c>
      <c r="Y7" s="2">
        <f t="shared" si="9"/>
        <v>396.31885800000015</v>
      </c>
      <c r="Z7" s="2" t="s">
        <v>87</v>
      </c>
      <c r="AA7" s="2" t="s">
        <v>145</v>
      </c>
      <c r="AB7" s="2">
        <f t="shared" si="10"/>
        <v>466.67131800000016</v>
      </c>
    </row>
    <row r="8" spans="1:28" s="5" customFormat="1">
      <c r="A8" s="5">
        <v>11136</v>
      </c>
      <c r="B8" s="5" t="s">
        <v>13</v>
      </c>
      <c r="C8" s="5">
        <v>42859</v>
      </c>
      <c r="D8" s="5">
        <v>934</v>
      </c>
      <c r="E8" s="5">
        <f t="shared" si="0"/>
        <v>45.887580299785867</v>
      </c>
      <c r="F8" s="5">
        <f t="shared" si="1"/>
        <v>27532.548179871519</v>
      </c>
      <c r="G8" s="5">
        <f t="shared" si="2"/>
        <v>2753254.8179871519</v>
      </c>
      <c r="H8" s="5">
        <v>100</v>
      </c>
      <c r="I8" s="5" t="s">
        <v>146</v>
      </c>
      <c r="J8" s="5">
        <f t="shared" si="3"/>
        <v>825976.44539614557</v>
      </c>
      <c r="K8" s="5" t="s">
        <v>147</v>
      </c>
      <c r="L8" s="5">
        <f t="shared" si="4"/>
        <v>2230.136402569593</v>
      </c>
      <c r="M8" s="5" t="s">
        <v>148</v>
      </c>
      <c r="N8" s="5">
        <f t="shared" si="5"/>
        <v>1175.2818841541755</v>
      </c>
      <c r="O8" s="5" t="s">
        <v>149</v>
      </c>
      <c r="P8" s="5" t="s">
        <v>150</v>
      </c>
      <c r="Q8" s="5">
        <f t="shared" si="6"/>
        <v>179.97200768736613</v>
      </c>
      <c r="R8" s="5" t="s">
        <v>151</v>
      </c>
      <c r="S8" s="5" t="s">
        <v>152</v>
      </c>
      <c r="T8" s="5">
        <f t="shared" si="7"/>
        <v>125.11065218415416</v>
      </c>
      <c r="U8" s="5" t="s">
        <v>153</v>
      </c>
      <c r="V8" s="5" t="s">
        <v>154</v>
      </c>
      <c r="W8" s="5">
        <f t="shared" si="8"/>
        <v>164.36105286937899</v>
      </c>
      <c r="X8" s="5" t="s">
        <v>155</v>
      </c>
      <c r="Y8" s="5">
        <f t="shared" si="9"/>
        <v>114.85202473233403</v>
      </c>
      <c r="Z8" s="5" t="s">
        <v>156</v>
      </c>
      <c r="AA8" s="5" t="s">
        <v>82</v>
      </c>
      <c r="AB8" s="5">
        <f t="shared" si="10"/>
        <v>265.38623190578153</v>
      </c>
    </row>
    <row r="9" spans="1:28" s="5" customFormat="1">
      <c r="A9" s="5">
        <v>11137</v>
      </c>
      <c r="B9" s="5" t="s">
        <v>13</v>
      </c>
      <c r="C9" s="5">
        <v>42573</v>
      </c>
      <c r="D9" s="5">
        <v>959</v>
      </c>
      <c r="E9" s="5">
        <f t="shared" si="0"/>
        <v>44.393117831074036</v>
      </c>
      <c r="F9" s="5">
        <f t="shared" si="1"/>
        <v>26635.870698644423</v>
      </c>
      <c r="G9" s="5">
        <f t="shared" si="2"/>
        <v>2663587.0698644421</v>
      </c>
      <c r="H9" s="5">
        <v>100</v>
      </c>
      <c r="I9" s="5" t="s">
        <v>157</v>
      </c>
      <c r="J9" s="5">
        <f t="shared" si="3"/>
        <v>793748.94681960368</v>
      </c>
      <c r="K9" s="5" t="s">
        <v>158</v>
      </c>
      <c r="L9" s="5">
        <f t="shared" si="4"/>
        <v>1904.9974723670487</v>
      </c>
      <c r="M9" s="5" t="s">
        <v>159</v>
      </c>
      <c r="N9" s="5">
        <f t="shared" si="5"/>
        <v>706.75406224817505</v>
      </c>
      <c r="O9" s="5" t="s">
        <v>160</v>
      </c>
      <c r="P9" s="5" t="s">
        <v>161</v>
      </c>
      <c r="Q9" s="5">
        <f t="shared" si="6"/>
        <v>120.01484075912407</v>
      </c>
      <c r="R9" s="5" t="s">
        <v>162</v>
      </c>
      <c r="S9" s="5" t="s">
        <v>163</v>
      </c>
      <c r="T9" s="5">
        <f t="shared" si="7"/>
        <v>68.198909510740336</v>
      </c>
      <c r="U9" s="5" t="s">
        <v>164</v>
      </c>
      <c r="V9" s="5" t="s">
        <v>165</v>
      </c>
      <c r="W9" s="5">
        <f t="shared" si="8"/>
        <v>108.39435617768507</v>
      </c>
      <c r="X9" s="5" t="s">
        <v>166</v>
      </c>
      <c r="Y9" s="5">
        <f t="shared" si="9"/>
        <v>28.193962591032321</v>
      </c>
      <c r="Z9" s="5" t="s">
        <v>167</v>
      </c>
      <c r="AA9" s="5" t="s">
        <v>168</v>
      </c>
      <c r="AB9" s="5">
        <f t="shared" si="10"/>
        <v>110.68035314452553</v>
      </c>
    </row>
    <row r="10" spans="1:28" s="5" customFormat="1">
      <c r="A10" s="5">
        <v>11138</v>
      </c>
      <c r="B10" s="5" t="s">
        <v>13</v>
      </c>
      <c r="C10" s="5">
        <v>61805</v>
      </c>
      <c r="D10" s="5">
        <v>959</v>
      </c>
      <c r="E10" s="5">
        <f t="shared" si="0"/>
        <v>64.44734098018769</v>
      </c>
      <c r="F10" s="5">
        <f t="shared" si="1"/>
        <v>38668.404588112615</v>
      </c>
      <c r="G10" s="5">
        <f t="shared" si="2"/>
        <v>3866840.4588112617</v>
      </c>
      <c r="H10" s="5">
        <v>100</v>
      </c>
      <c r="I10" s="5" t="s">
        <v>169</v>
      </c>
      <c r="J10" s="5">
        <f t="shared" si="3"/>
        <v>1144584.7758081334</v>
      </c>
      <c r="K10" s="5" t="s">
        <v>170</v>
      </c>
      <c r="L10" s="5">
        <f t="shared" si="4"/>
        <v>1373.50173096976</v>
      </c>
      <c r="M10" s="5" t="s">
        <v>171</v>
      </c>
      <c r="N10" s="5">
        <f t="shared" si="5"/>
        <v>646.91931528675696</v>
      </c>
      <c r="O10" s="5" t="s">
        <v>111</v>
      </c>
      <c r="P10" s="5" t="s">
        <v>172</v>
      </c>
      <c r="Q10" s="5">
        <f t="shared" si="6"/>
        <v>159.32620079249219</v>
      </c>
      <c r="R10" s="5" t="s">
        <v>116</v>
      </c>
      <c r="S10" s="5" t="s">
        <v>173</v>
      </c>
      <c r="T10" s="5">
        <f t="shared" si="7"/>
        <v>71.834140529718454</v>
      </c>
      <c r="U10" s="5" t="s">
        <v>174</v>
      </c>
      <c r="V10" s="5" t="s">
        <v>175</v>
      </c>
      <c r="W10" s="5">
        <f t="shared" si="8"/>
        <v>153.83219386861313</v>
      </c>
      <c r="X10" s="5" t="s">
        <v>176</v>
      </c>
      <c r="Y10" s="5">
        <f t="shared" si="9"/>
        <v>23.074829080291966</v>
      </c>
      <c r="Z10" s="5" t="s">
        <v>177</v>
      </c>
      <c r="AA10" s="5" t="s">
        <v>178</v>
      </c>
      <c r="AB10" s="5">
        <f t="shared" si="10"/>
        <v>92.436666494264855</v>
      </c>
    </row>
    <row r="11" spans="1:28" s="5" customFormat="1">
      <c r="A11" s="5">
        <v>11139</v>
      </c>
      <c r="B11" s="5" t="s">
        <v>13</v>
      </c>
      <c r="C11" s="5">
        <v>49622</v>
      </c>
      <c r="D11" s="5">
        <v>953</v>
      </c>
      <c r="E11" s="5">
        <f t="shared" si="0"/>
        <v>52.069254984260233</v>
      </c>
      <c r="F11" s="5">
        <f t="shared" si="1"/>
        <v>31241.552990556142</v>
      </c>
      <c r="G11" s="5">
        <f t="shared" si="2"/>
        <v>3124155.299055614</v>
      </c>
      <c r="H11" s="5">
        <v>100</v>
      </c>
      <c r="I11" s="5" t="s">
        <v>179</v>
      </c>
      <c r="J11" s="5">
        <f t="shared" si="3"/>
        <v>827901.15424973774</v>
      </c>
      <c r="K11" s="5" t="s">
        <v>180</v>
      </c>
      <c r="L11" s="5">
        <f t="shared" si="4"/>
        <v>3808.3453095487935</v>
      </c>
      <c r="M11" s="5" t="s">
        <v>181</v>
      </c>
      <c r="N11" s="5">
        <f t="shared" si="5"/>
        <v>1755.647187701994</v>
      </c>
      <c r="O11" s="5" t="s">
        <v>182</v>
      </c>
      <c r="P11" s="5" t="s">
        <v>183</v>
      </c>
      <c r="Q11" s="5">
        <f t="shared" si="6"/>
        <v>345.4169195760756</v>
      </c>
      <c r="R11" s="5" t="s">
        <v>175</v>
      </c>
      <c r="S11" s="5" t="s">
        <v>155</v>
      </c>
      <c r="T11" s="5">
        <f t="shared" si="7"/>
        <v>196.12978344176284</v>
      </c>
      <c r="U11" s="5" t="s">
        <v>184</v>
      </c>
      <c r="V11" s="5" t="s">
        <v>185</v>
      </c>
      <c r="W11" s="5">
        <f t="shared" si="8"/>
        <v>340.84690520461697</v>
      </c>
      <c r="X11" s="5" t="s">
        <v>186</v>
      </c>
      <c r="Y11" s="5">
        <f t="shared" si="9"/>
        <v>140.14710739139559</v>
      </c>
      <c r="Z11" s="5" t="s">
        <v>134</v>
      </c>
      <c r="AA11" s="5" t="s">
        <v>187</v>
      </c>
      <c r="AB11" s="5">
        <f t="shared" si="10"/>
        <v>319.52017147114378</v>
      </c>
    </row>
    <row r="12" spans="1:28" s="5" customFormat="1">
      <c r="A12" s="5">
        <v>11140</v>
      </c>
      <c r="B12" s="5" t="s">
        <v>13</v>
      </c>
      <c r="C12" s="5">
        <v>79233</v>
      </c>
      <c r="D12" s="5">
        <v>954</v>
      </c>
      <c r="E12" s="5">
        <f t="shared" si="0"/>
        <v>83.05345911949685</v>
      </c>
      <c r="F12" s="5">
        <f t="shared" si="1"/>
        <v>49832.07547169811</v>
      </c>
      <c r="G12" s="5">
        <f t="shared" si="2"/>
        <v>4983207.5471698111</v>
      </c>
      <c r="H12" s="5">
        <v>100</v>
      </c>
      <c r="I12" s="5" t="s">
        <v>188</v>
      </c>
      <c r="J12" s="5">
        <f t="shared" si="3"/>
        <v>1215902.641509434</v>
      </c>
      <c r="K12" s="5" t="s">
        <v>189</v>
      </c>
      <c r="L12" s="5">
        <f t="shared" si="4"/>
        <v>4134.0689811320754</v>
      </c>
      <c r="M12" s="5" t="s">
        <v>190</v>
      </c>
      <c r="N12" s="5">
        <f t="shared" si="5"/>
        <v>1901.6717313207548</v>
      </c>
      <c r="O12" s="5" t="s">
        <v>191</v>
      </c>
      <c r="P12" s="5" t="s">
        <v>192</v>
      </c>
      <c r="Q12" s="5">
        <f t="shared" si="6"/>
        <v>392.73655320754716</v>
      </c>
      <c r="R12" s="5" t="s">
        <v>193</v>
      </c>
      <c r="S12" s="5" t="s">
        <v>194</v>
      </c>
      <c r="T12" s="5">
        <f t="shared" si="7"/>
        <v>224.06653877735849</v>
      </c>
      <c r="U12" s="5" t="s">
        <v>96</v>
      </c>
      <c r="V12" s="5" t="s">
        <v>195</v>
      </c>
      <c r="W12" s="5">
        <f t="shared" si="8"/>
        <v>378.26731177358488</v>
      </c>
      <c r="X12" s="5" t="s">
        <v>196</v>
      </c>
      <c r="Y12" s="5">
        <f t="shared" si="9"/>
        <v>132.70361429433962</v>
      </c>
      <c r="Z12" s="5" t="s">
        <v>197</v>
      </c>
      <c r="AA12" s="5" t="s">
        <v>198</v>
      </c>
      <c r="AB12" s="5">
        <f t="shared" si="10"/>
        <v>342.30091163773585</v>
      </c>
    </row>
    <row r="13" spans="1:28" s="5" customFormat="1">
      <c r="A13" s="5">
        <v>11141</v>
      </c>
      <c r="B13" s="5" t="s">
        <v>13</v>
      </c>
      <c r="C13" s="5">
        <v>81234</v>
      </c>
      <c r="D13" s="5">
        <v>945</v>
      </c>
      <c r="E13" s="5">
        <f t="shared" si="0"/>
        <v>85.961904761904762</v>
      </c>
      <c r="F13" s="5">
        <f t="shared" si="1"/>
        <v>51577.142857142855</v>
      </c>
      <c r="G13" s="5">
        <f t="shared" si="2"/>
        <v>5157714.2857142854</v>
      </c>
      <c r="H13" s="5">
        <v>100</v>
      </c>
      <c r="I13" s="5" t="s">
        <v>199</v>
      </c>
      <c r="J13" s="5">
        <f t="shared" si="3"/>
        <v>1459633.1428571427</v>
      </c>
      <c r="K13" s="5" t="s">
        <v>200</v>
      </c>
      <c r="L13" s="5">
        <f t="shared" si="4"/>
        <v>5400.6426285714288</v>
      </c>
      <c r="M13" s="5" t="s">
        <v>201</v>
      </c>
      <c r="N13" s="5">
        <f t="shared" si="5"/>
        <v>2009.0390578285715</v>
      </c>
      <c r="O13" s="5" t="s">
        <v>202</v>
      </c>
      <c r="P13" s="5" t="s">
        <v>203</v>
      </c>
      <c r="Q13" s="5">
        <f t="shared" si="6"/>
        <v>458.51455916571433</v>
      </c>
      <c r="R13" s="5" t="s">
        <v>204</v>
      </c>
      <c r="S13" s="5" t="s">
        <v>205</v>
      </c>
      <c r="T13" s="5">
        <f t="shared" si="7"/>
        <v>201.98403430857144</v>
      </c>
      <c r="U13" s="5" t="s">
        <v>206</v>
      </c>
      <c r="V13" s="5" t="s">
        <v>207</v>
      </c>
      <c r="W13" s="5">
        <f t="shared" si="8"/>
        <v>446.63314538285715</v>
      </c>
      <c r="X13" s="5" t="s">
        <v>205</v>
      </c>
      <c r="Y13" s="5">
        <f t="shared" si="9"/>
        <v>201.98403430857144</v>
      </c>
      <c r="Z13" s="5" t="s">
        <v>208</v>
      </c>
      <c r="AA13" s="5" t="s">
        <v>209</v>
      </c>
      <c r="AB13" s="5">
        <f t="shared" si="10"/>
        <v>336.46003576000004</v>
      </c>
    </row>
    <row r="14" spans="1:28" s="6" customFormat="1">
      <c r="A14" s="6">
        <v>11142</v>
      </c>
      <c r="B14" s="6" t="s">
        <v>14</v>
      </c>
      <c r="C14" s="6">
        <v>31690</v>
      </c>
      <c r="D14" s="6">
        <v>951</v>
      </c>
      <c r="E14" s="6">
        <f t="shared" si="0"/>
        <v>33.322818086225027</v>
      </c>
      <c r="F14" s="6">
        <f t="shared" si="1"/>
        <v>19993.690851735017</v>
      </c>
      <c r="G14" s="6">
        <f t="shared" si="2"/>
        <v>1999369.0851735016</v>
      </c>
      <c r="H14" s="6">
        <v>100</v>
      </c>
      <c r="I14" s="6" t="s">
        <v>89</v>
      </c>
      <c r="J14" s="6">
        <f t="shared" si="3"/>
        <v>577817.66561514197</v>
      </c>
      <c r="K14" s="6" t="s">
        <v>210</v>
      </c>
      <c r="L14" s="6">
        <f t="shared" si="4"/>
        <v>1906.7982965299684</v>
      </c>
      <c r="M14" s="6" t="s">
        <v>211</v>
      </c>
      <c r="N14" s="6">
        <f t="shared" si="5"/>
        <v>829.45725899053627</v>
      </c>
      <c r="O14" s="6" t="s">
        <v>208</v>
      </c>
      <c r="P14" s="6" t="s">
        <v>212</v>
      </c>
      <c r="Q14" s="6">
        <f t="shared" si="6"/>
        <v>138.2428764984227</v>
      </c>
      <c r="R14" s="6" t="s">
        <v>213</v>
      </c>
      <c r="S14" s="6" t="s">
        <v>214</v>
      </c>
      <c r="T14" s="6">
        <f t="shared" si="7"/>
        <v>145.29803019558361</v>
      </c>
      <c r="U14" s="6" t="s">
        <v>215</v>
      </c>
      <c r="V14" s="6" t="s">
        <v>216</v>
      </c>
      <c r="W14" s="6">
        <f t="shared" si="8"/>
        <v>128.89956484542586</v>
      </c>
      <c r="X14" s="6" t="s">
        <v>217</v>
      </c>
      <c r="Y14" s="6">
        <f t="shared" si="9"/>
        <v>39.852084397476339</v>
      </c>
      <c r="Z14" s="6" t="s">
        <v>218</v>
      </c>
      <c r="AA14" s="6" t="s">
        <v>219</v>
      </c>
      <c r="AB14" s="6">
        <f t="shared" si="10"/>
        <v>131.18772280126183</v>
      </c>
    </row>
    <row r="15" spans="1:28" s="6" customFormat="1">
      <c r="A15" s="6">
        <v>11143</v>
      </c>
      <c r="B15" s="6" t="s">
        <v>14</v>
      </c>
      <c r="C15" s="6">
        <v>34266</v>
      </c>
      <c r="D15" s="6">
        <v>962</v>
      </c>
      <c r="E15" s="6">
        <f t="shared" si="0"/>
        <v>35.619542619542621</v>
      </c>
      <c r="F15" s="6">
        <f t="shared" si="1"/>
        <v>21371.725571725572</v>
      </c>
      <c r="G15" s="6">
        <f t="shared" si="2"/>
        <v>2137172.5571725573</v>
      </c>
      <c r="H15" s="6">
        <v>100</v>
      </c>
      <c r="I15" s="6" t="s">
        <v>220</v>
      </c>
      <c r="J15" s="6">
        <f t="shared" si="3"/>
        <v>679620.87318087323</v>
      </c>
      <c r="K15" s="6" t="s">
        <v>221</v>
      </c>
      <c r="L15" s="6">
        <f t="shared" si="4"/>
        <v>747.58296049896057</v>
      </c>
      <c r="M15" s="6" t="s">
        <v>222</v>
      </c>
      <c r="N15" s="6">
        <f t="shared" si="5"/>
        <v>338.65508110602917</v>
      </c>
      <c r="O15" s="6" t="s">
        <v>223</v>
      </c>
      <c r="P15" s="6" t="s">
        <v>151</v>
      </c>
      <c r="Q15" s="6">
        <f t="shared" si="6"/>
        <v>79.24379381288982</v>
      </c>
      <c r="R15" s="6" t="s">
        <v>208</v>
      </c>
      <c r="S15" s="6" t="s">
        <v>224</v>
      </c>
      <c r="T15" s="6">
        <f t="shared" si="7"/>
        <v>56.442513517671522</v>
      </c>
      <c r="U15" s="6" t="s">
        <v>225</v>
      </c>
      <c r="V15" s="6" t="s">
        <v>226</v>
      </c>
      <c r="W15" s="6">
        <f t="shared" si="8"/>
        <v>74.534021161746367</v>
      </c>
      <c r="X15" s="6" t="s">
        <v>227</v>
      </c>
      <c r="Y15" s="6">
        <f t="shared" si="9"/>
        <v>4.4854977629937638</v>
      </c>
      <c r="Z15" s="6" t="s">
        <v>228</v>
      </c>
      <c r="AA15" s="6" t="s">
        <v>229</v>
      </c>
      <c r="AB15" s="6">
        <f t="shared" si="10"/>
        <v>29.380010347609151</v>
      </c>
    </row>
    <row r="16" spans="1:28" s="6" customFormat="1">
      <c r="A16" s="6">
        <v>11144</v>
      </c>
      <c r="B16" s="6" t="s">
        <v>14</v>
      </c>
      <c r="C16" s="6">
        <v>22800</v>
      </c>
      <c r="D16" s="6">
        <v>948</v>
      </c>
      <c r="E16" s="6">
        <f t="shared" si="0"/>
        <v>24.050632911392405</v>
      </c>
      <c r="F16" s="6">
        <f t="shared" si="1"/>
        <v>14430.379746835442</v>
      </c>
      <c r="G16" s="6">
        <f t="shared" si="2"/>
        <v>1443037.9746835441</v>
      </c>
      <c r="H16" s="6">
        <v>100</v>
      </c>
      <c r="I16" s="6" t="s">
        <v>230</v>
      </c>
      <c r="J16" s="6">
        <f t="shared" si="3"/>
        <v>468987.34177215188</v>
      </c>
      <c r="K16" s="6" t="s">
        <v>231</v>
      </c>
      <c r="L16" s="6">
        <f t="shared" si="4"/>
        <v>1453.8607594936707</v>
      </c>
      <c r="M16" s="6" t="s">
        <v>232</v>
      </c>
      <c r="N16" s="6">
        <f t="shared" si="5"/>
        <v>648.42189873417715</v>
      </c>
      <c r="O16" s="6" t="s">
        <v>233</v>
      </c>
      <c r="P16" s="6" t="s">
        <v>234</v>
      </c>
      <c r="Q16" s="6">
        <f t="shared" si="6"/>
        <v>109.91187341772151</v>
      </c>
      <c r="R16" s="6" t="s">
        <v>235</v>
      </c>
      <c r="S16" s="6" t="s">
        <v>236</v>
      </c>
      <c r="T16" s="6">
        <f t="shared" si="7"/>
        <v>85.777784810126562</v>
      </c>
      <c r="U16" s="6" t="s">
        <v>237</v>
      </c>
      <c r="V16" s="6" t="s">
        <v>238</v>
      </c>
      <c r="W16" s="6">
        <f t="shared" si="8"/>
        <v>105.55029113924049</v>
      </c>
      <c r="X16" s="6" t="s">
        <v>239</v>
      </c>
      <c r="Y16" s="6">
        <f t="shared" si="9"/>
        <v>19.77250632911392</v>
      </c>
      <c r="Z16" s="6" t="s">
        <v>240</v>
      </c>
      <c r="AA16" s="6" t="s">
        <v>241</v>
      </c>
      <c r="AB16" s="6">
        <f t="shared" si="10"/>
        <v>118.78042405063289</v>
      </c>
    </row>
    <row r="17" spans="1:28" s="6" customFormat="1">
      <c r="A17" s="6">
        <v>11145</v>
      </c>
      <c r="B17" s="6" t="s">
        <v>14</v>
      </c>
      <c r="C17" s="6">
        <v>56561</v>
      </c>
      <c r="D17" s="6">
        <v>954</v>
      </c>
      <c r="E17" s="6">
        <f t="shared" si="0"/>
        <v>59.288259958071279</v>
      </c>
      <c r="F17" s="6">
        <f t="shared" si="1"/>
        <v>35572.955974842771</v>
      </c>
      <c r="G17" s="6">
        <f t="shared" si="2"/>
        <v>3557295.5974842771</v>
      </c>
      <c r="H17" s="6">
        <v>100</v>
      </c>
      <c r="I17" s="6" t="s">
        <v>242</v>
      </c>
      <c r="J17" s="6">
        <f t="shared" si="3"/>
        <v>1102761.6352201258</v>
      </c>
      <c r="K17" s="6" t="s">
        <v>231</v>
      </c>
      <c r="L17" s="6">
        <f t="shared" si="4"/>
        <v>3418.5610691823899</v>
      </c>
      <c r="M17" s="6" t="s">
        <v>243</v>
      </c>
      <c r="N17" s="6">
        <f t="shared" si="5"/>
        <v>1565.7009696855346</v>
      </c>
      <c r="O17" s="6" t="s">
        <v>244</v>
      </c>
      <c r="P17" s="6" t="s">
        <v>245</v>
      </c>
      <c r="Q17" s="6">
        <f t="shared" si="6"/>
        <v>417.06445044025156</v>
      </c>
      <c r="R17" s="6" t="s">
        <v>246</v>
      </c>
      <c r="S17" s="6" t="s">
        <v>122</v>
      </c>
      <c r="T17" s="6">
        <f t="shared" si="7"/>
        <v>369.2045954716981</v>
      </c>
      <c r="U17" s="6" t="s">
        <v>108</v>
      </c>
      <c r="V17" s="6" t="s">
        <v>193</v>
      </c>
      <c r="W17" s="6">
        <f t="shared" si="8"/>
        <v>403.39020616352201</v>
      </c>
      <c r="X17" s="6" t="s">
        <v>247</v>
      </c>
      <c r="Y17" s="6">
        <f t="shared" si="9"/>
        <v>63.585235886792447</v>
      </c>
      <c r="Z17" s="6" t="s">
        <v>140</v>
      </c>
      <c r="AA17" s="6" t="s">
        <v>248</v>
      </c>
      <c r="AB17" s="6">
        <f t="shared" si="10"/>
        <v>171.26990956603774</v>
      </c>
    </row>
    <row r="18" spans="1:28" s="6" customFormat="1">
      <c r="A18" s="6">
        <v>11146</v>
      </c>
      <c r="B18" s="6" t="s">
        <v>14</v>
      </c>
      <c r="C18" s="6">
        <v>24803</v>
      </c>
      <c r="D18" s="6">
        <v>958</v>
      </c>
      <c r="E18" s="6">
        <f t="shared" si="0"/>
        <v>25.890396659707726</v>
      </c>
      <c r="F18" s="6">
        <f t="shared" si="1"/>
        <v>15534.237995824635</v>
      </c>
      <c r="G18" s="6">
        <f t="shared" si="2"/>
        <v>1553423.7995824635</v>
      </c>
      <c r="H18" s="6">
        <v>100</v>
      </c>
      <c r="I18" s="6" t="s">
        <v>249</v>
      </c>
      <c r="J18" s="6">
        <f t="shared" si="3"/>
        <v>500202.46346555324</v>
      </c>
      <c r="K18" s="6" t="s">
        <v>250</v>
      </c>
      <c r="L18" s="6">
        <f t="shared" si="4"/>
        <v>2200.8908392484345</v>
      </c>
      <c r="M18" s="6" t="s">
        <v>251</v>
      </c>
      <c r="N18" s="6">
        <f t="shared" si="5"/>
        <v>847.34297311064734</v>
      </c>
      <c r="O18" s="6" t="s">
        <v>252</v>
      </c>
      <c r="P18" s="6" t="s">
        <v>253</v>
      </c>
      <c r="Q18" s="6">
        <f t="shared" si="6"/>
        <v>116.86730356409187</v>
      </c>
      <c r="R18" s="6" t="s">
        <v>254</v>
      </c>
      <c r="S18" s="6" t="s">
        <v>255</v>
      </c>
      <c r="T18" s="6">
        <f t="shared" si="7"/>
        <v>210.40516423215036</v>
      </c>
      <c r="U18" s="6" t="s">
        <v>256</v>
      </c>
      <c r="V18" s="6" t="s">
        <v>253</v>
      </c>
      <c r="W18" s="6">
        <f t="shared" si="8"/>
        <v>116.86730356409187</v>
      </c>
      <c r="X18" s="6" t="s">
        <v>257</v>
      </c>
      <c r="Y18" s="6">
        <f t="shared" si="9"/>
        <v>93.537860668058471</v>
      </c>
      <c r="Z18" s="6" t="s">
        <v>213</v>
      </c>
      <c r="AA18" s="6" t="s">
        <v>178</v>
      </c>
      <c r="AB18" s="6">
        <f t="shared" si="10"/>
        <v>148.11995348141963</v>
      </c>
    </row>
    <row r="19" spans="1:28" s="6" customFormat="1">
      <c r="A19" s="6">
        <v>11147</v>
      </c>
      <c r="B19" s="6" t="s">
        <v>14</v>
      </c>
      <c r="C19" s="6">
        <v>57542</v>
      </c>
      <c r="D19" s="6">
        <v>955</v>
      </c>
      <c r="E19" s="6">
        <f t="shared" si="0"/>
        <v>60.253403141361254</v>
      </c>
      <c r="F19" s="6">
        <f t="shared" si="1"/>
        <v>36152.041884816754</v>
      </c>
      <c r="G19" s="6">
        <f t="shared" si="2"/>
        <v>3615204.1884816755</v>
      </c>
      <c r="H19" s="6">
        <v>100</v>
      </c>
      <c r="I19" s="6" t="s">
        <v>258</v>
      </c>
      <c r="J19" s="6">
        <f t="shared" si="3"/>
        <v>1099022.0732984294</v>
      </c>
      <c r="K19" s="6" t="s">
        <v>259</v>
      </c>
      <c r="L19" s="6">
        <f t="shared" si="4"/>
        <v>2198.0441465968588</v>
      </c>
      <c r="M19" s="6" t="s">
        <v>190</v>
      </c>
      <c r="N19" s="6">
        <f t="shared" si="5"/>
        <v>1011.1003074345551</v>
      </c>
      <c r="O19" s="6" t="s">
        <v>260</v>
      </c>
      <c r="P19" s="6" t="s">
        <v>261</v>
      </c>
      <c r="Q19" s="6">
        <f t="shared" si="6"/>
        <v>312.12226881675394</v>
      </c>
      <c r="R19" s="6" t="s">
        <v>262</v>
      </c>
      <c r="S19" s="6" t="s">
        <v>263</v>
      </c>
      <c r="T19" s="6">
        <f t="shared" si="7"/>
        <v>218.92519700104714</v>
      </c>
      <c r="U19" s="6" t="s">
        <v>264</v>
      </c>
      <c r="V19" s="6" t="s">
        <v>265</v>
      </c>
      <c r="W19" s="6">
        <f t="shared" si="8"/>
        <v>298.9340039371728</v>
      </c>
      <c r="X19" s="6" t="s">
        <v>266</v>
      </c>
      <c r="Y19" s="6">
        <f t="shared" si="9"/>
        <v>14.507091367539267</v>
      </c>
      <c r="Z19" s="6" t="s">
        <v>267</v>
      </c>
      <c r="AA19" s="6" t="s">
        <v>268</v>
      </c>
      <c r="AB19" s="6">
        <f t="shared" si="10"/>
        <v>104.62690137801049</v>
      </c>
    </row>
    <row r="20" spans="1:28" s="7" customFormat="1">
      <c r="A20" s="7">
        <v>11148</v>
      </c>
      <c r="B20" s="7" t="s">
        <v>15</v>
      </c>
      <c r="C20" s="7">
        <v>29806</v>
      </c>
      <c r="D20" s="7">
        <v>948</v>
      </c>
      <c r="E20" s="7">
        <f t="shared" si="0"/>
        <v>31.440928270042193</v>
      </c>
      <c r="F20" s="7">
        <f t="shared" si="1"/>
        <v>18864.556962025315</v>
      </c>
      <c r="G20" s="7">
        <f t="shared" si="2"/>
        <v>1886455.6962025315</v>
      </c>
      <c r="H20" s="7">
        <v>100</v>
      </c>
      <c r="I20" s="7" t="s">
        <v>269</v>
      </c>
      <c r="J20" s="7">
        <f t="shared" si="3"/>
        <v>609325.18987341772</v>
      </c>
      <c r="K20" s="7" t="s">
        <v>270</v>
      </c>
      <c r="L20" s="7">
        <f t="shared" si="4"/>
        <v>3716.8836582278482</v>
      </c>
      <c r="M20" s="7" t="s">
        <v>271</v>
      </c>
      <c r="N20" s="7">
        <f t="shared" si="5"/>
        <v>1646.5794605949368</v>
      </c>
      <c r="O20" s="7" t="s">
        <v>272</v>
      </c>
      <c r="P20" s="7" t="s">
        <v>273</v>
      </c>
      <c r="Q20" s="7">
        <f t="shared" si="6"/>
        <v>123.77222581898735</v>
      </c>
      <c r="R20" s="7" t="s">
        <v>274</v>
      </c>
      <c r="S20" s="7" t="s">
        <v>107</v>
      </c>
      <c r="T20" s="7">
        <f t="shared" si="7"/>
        <v>212.23405688481012</v>
      </c>
      <c r="U20" s="7" t="s">
        <v>264</v>
      </c>
      <c r="V20" s="7" t="s">
        <v>275</v>
      </c>
      <c r="W20" s="7">
        <f t="shared" si="8"/>
        <v>118.94027706329115</v>
      </c>
      <c r="X20" s="7" t="s">
        <v>276</v>
      </c>
      <c r="Y20" s="7">
        <f t="shared" si="9"/>
        <v>17.841041559493668</v>
      </c>
      <c r="Z20" s="7" t="s">
        <v>277</v>
      </c>
      <c r="AA20" s="7" t="s">
        <v>278</v>
      </c>
      <c r="AB20" s="7">
        <f t="shared" si="10"/>
        <v>423.72473703797471</v>
      </c>
    </row>
    <row r="21" spans="1:28" s="7" customFormat="1">
      <c r="A21" s="7">
        <v>11149</v>
      </c>
      <c r="B21" s="7" t="s">
        <v>15</v>
      </c>
      <c r="C21" s="7">
        <v>38084</v>
      </c>
      <c r="D21" s="7">
        <v>956</v>
      </c>
      <c r="E21" s="7">
        <f t="shared" si="0"/>
        <v>39.836820083682007</v>
      </c>
      <c r="F21" s="7">
        <f t="shared" si="1"/>
        <v>23902.092050209205</v>
      </c>
      <c r="G21" s="7">
        <f t="shared" si="2"/>
        <v>2390209.2050209204</v>
      </c>
      <c r="H21" s="7">
        <v>100</v>
      </c>
      <c r="I21" s="7" t="s">
        <v>279</v>
      </c>
      <c r="J21" s="7">
        <f t="shared" si="3"/>
        <v>752915.89958158997</v>
      </c>
      <c r="K21" s="7" t="s">
        <v>280</v>
      </c>
      <c r="L21" s="7">
        <f t="shared" si="4"/>
        <v>1882.289748953975</v>
      </c>
      <c r="M21" s="7" t="s">
        <v>281</v>
      </c>
      <c r="N21" s="7">
        <f t="shared" si="5"/>
        <v>880.9116025104604</v>
      </c>
      <c r="O21" s="7" t="s">
        <v>129</v>
      </c>
      <c r="P21" s="7" t="s">
        <v>216</v>
      </c>
      <c r="Q21" s="7">
        <f t="shared" si="6"/>
        <v>127.24278702928871</v>
      </c>
      <c r="R21" s="7" t="s">
        <v>94</v>
      </c>
      <c r="S21" s="7" t="s">
        <v>282</v>
      </c>
      <c r="T21" s="7">
        <f t="shared" si="7"/>
        <v>105.9729128661088</v>
      </c>
      <c r="U21" s="7" t="s">
        <v>283</v>
      </c>
      <c r="V21" s="7" t="s">
        <v>284</v>
      </c>
      <c r="W21" s="7">
        <f t="shared" si="8"/>
        <v>124.60758138075313</v>
      </c>
      <c r="X21" s="7" t="s">
        <v>285</v>
      </c>
      <c r="Y21" s="7">
        <f t="shared" si="9"/>
        <v>18.634668514644353</v>
      </c>
      <c r="Z21" s="7" t="s">
        <v>286</v>
      </c>
      <c r="AA21" s="7" t="s">
        <v>204</v>
      </c>
      <c r="AB21" s="7">
        <f t="shared" si="10"/>
        <v>188.22897489539753</v>
      </c>
    </row>
    <row r="22" spans="1:28" s="7" customFormat="1">
      <c r="A22" s="7">
        <v>11150</v>
      </c>
      <c r="B22" s="7" t="s">
        <v>15</v>
      </c>
      <c r="C22" s="7">
        <v>56994</v>
      </c>
      <c r="D22" s="7">
        <v>964</v>
      </c>
      <c r="E22" s="7">
        <f t="shared" si="0"/>
        <v>59.122406639004147</v>
      </c>
      <c r="F22" s="7">
        <f t="shared" si="1"/>
        <v>35473.443983402489</v>
      </c>
      <c r="G22" s="7">
        <f t="shared" si="2"/>
        <v>3547344.398340249</v>
      </c>
      <c r="H22" s="7">
        <v>100</v>
      </c>
      <c r="I22" s="7" t="s">
        <v>287</v>
      </c>
      <c r="J22" s="7">
        <f t="shared" si="3"/>
        <v>1110318.7966804979</v>
      </c>
      <c r="K22" s="7" t="s">
        <v>288</v>
      </c>
      <c r="L22" s="7">
        <f t="shared" si="4"/>
        <v>6328.8171410788382</v>
      </c>
      <c r="M22" s="7" t="s">
        <v>289</v>
      </c>
      <c r="N22" s="7">
        <f t="shared" si="5"/>
        <v>3202.3814733858921</v>
      </c>
      <c r="O22" s="7" t="s">
        <v>167</v>
      </c>
      <c r="P22" s="7" t="s">
        <v>290</v>
      </c>
      <c r="Q22" s="7">
        <f t="shared" si="6"/>
        <v>501.24231757344404</v>
      </c>
      <c r="R22" s="7" t="s">
        <v>82</v>
      </c>
      <c r="S22" s="7" t="s">
        <v>291</v>
      </c>
      <c r="T22" s="7">
        <f t="shared" si="7"/>
        <v>379.09614675062244</v>
      </c>
      <c r="U22" s="7" t="s">
        <v>292</v>
      </c>
      <c r="V22" s="7" t="s">
        <v>293</v>
      </c>
      <c r="W22" s="7">
        <f t="shared" si="8"/>
        <v>491.11621014771788</v>
      </c>
      <c r="X22" s="7" t="s">
        <v>294</v>
      </c>
      <c r="Y22" s="7">
        <f t="shared" si="9"/>
        <v>17.720687995020747</v>
      </c>
      <c r="Z22" s="7" t="s">
        <v>295</v>
      </c>
      <c r="AA22" s="7" t="s">
        <v>296</v>
      </c>
      <c r="AB22" s="7">
        <f t="shared" si="10"/>
        <v>470.23111358215772</v>
      </c>
    </row>
    <row r="23" spans="1:28" s="7" customFormat="1">
      <c r="A23" s="7">
        <v>11151</v>
      </c>
      <c r="B23" s="7" t="s">
        <v>15</v>
      </c>
      <c r="C23" s="7">
        <v>65808</v>
      </c>
      <c r="D23" s="7">
        <v>949</v>
      </c>
      <c r="E23" s="7">
        <f t="shared" si="0"/>
        <v>69.344573234984196</v>
      </c>
      <c r="F23" s="7">
        <f t="shared" si="1"/>
        <v>41606.74394099052</v>
      </c>
      <c r="G23" s="7">
        <f t="shared" si="2"/>
        <v>4160674.3940990521</v>
      </c>
      <c r="H23" s="7">
        <v>100</v>
      </c>
      <c r="I23" s="7" t="s">
        <v>169</v>
      </c>
      <c r="J23" s="7">
        <f t="shared" si="3"/>
        <v>1231559.6206533194</v>
      </c>
      <c r="K23" s="7" t="s">
        <v>297</v>
      </c>
      <c r="L23" s="7">
        <f t="shared" si="4"/>
        <v>4926.2384826132775</v>
      </c>
      <c r="M23" s="7" t="s">
        <v>232</v>
      </c>
      <c r="N23" s="7">
        <f t="shared" si="5"/>
        <v>2197.1023632455217</v>
      </c>
      <c r="O23" s="7" t="s">
        <v>208</v>
      </c>
      <c r="P23" s="7" t="s">
        <v>298</v>
      </c>
      <c r="Q23" s="7">
        <f t="shared" si="6"/>
        <v>367.99001465121182</v>
      </c>
      <c r="R23" s="7" t="s">
        <v>299</v>
      </c>
      <c r="S23" s="7" t="s">
        <v>300</v>
      </c>
      <c r="T23" s="7">
        <f t="shared" si="7"/>
        <v>256.16440109589041</v>
      </c>
      <c r="U23" s="7" t="s">
        <v>301</v>
      </c>
      <c r="V23" s="7" t="s">
        <v>302</v>
      </c>
      <c r="W23" s="7">
        <f t="shared" si="8"/>
        <v>348.77768456902004</v>
      </c>
      <c r="X23" s="7" t="s">
        <v>303</v>
      </c>
      <c r="Y23" s="7">
        <f t="shared" si="9"/>
        <v>49.262384826132774</v>
      </c>
      <c r="Z23" s="7" t="s">
        <v>304</v>
      </c>
      <c r="AA23" s="7" t="s">
        <v>305</v>
      </c>
      <c r="AB23" s="7">
        <f t="shared" si="10"/>
        <v>485.23449053740785</v>
      </c>
    </row>
    <row r="24" spans="1:28" s="7" customFormat="1">
      <c r="A24" s="7">
        <v>11152</v>
      </c>
      <c r="B24" s="7" t="s">
        <v>15</v>
      </c>
      <c r="C24" s="7">
        <v>42537</v>
      </c>
      <c r="D24" s="7">
        <v>963</v>
      </c>
      <c r="E24" s="7">
        <f t="shared" si="0"/>
        <v>44.171339563862929</v>
      </c>
      <c r="F24" s="7">
        <f t="shared" si="1"/>
        <v>26502.803738317758</v>
      </c>
      <c r="G24" s="7">
        <f t="shared" si="2"/>
        <v>2650280.373831776</v>
      </c>
      <c r="H24" s="7">
        <v>100</v>
      </c>
      <c r="I24" s="7" t="s">
        <v>306</v>
      </c>
      <c r="J24" s="7">
        <f t="shared" si="3"/>
        <v>924947.8504672898</v>
      </c>
      <c r="K24" s="7" t="s">
        <v>90</v>
      </c>
      <c r="L24" s="7">
        <f t="shared" si="4"/>
        <v>4994.7183925233649</v>
      </c>
      <c r="M24" s="7" t="s">
        <v>307</v>
      </c>
      <c r="N24" s="7">
        <f t="shared" si="5"/>
        <v>1738.1620005981308</v>
      </c>
      <c r="O24" s="7" t="s">
        <v>204</v>
      </c>
      <c r="P24" s="7" t="s">
        <v>308</v>
      </c>
      <c r="Q24" s="7">
        <f t="shared" si="6"/>
        <v>174.31567189906545</v>
      </c>
      <c r="R24" s="7" t="s">
        <v>309</v>
      </c>
      <c r="S24" s="7" t="s">
        <v>310</v>
      </c>
      <c r="T24" s="7">
        <f t="shared" si="7"/>
        <v>226.76021502056079</v>
      </c>
      <c r="U24" s="7" t="s">
        <v>311</v>
      </c>
      <c r="V24" s="7" t="s">
        <v>312</v>
      </c>
      <c r="W24" s="7">
        <f t="shared" si="8"/>
        <v>150.34102361495329</v>
      </c>
      <c r="X24" s="7" t="s">
        <v>313</v>
      </c>
      <c r="Y24" s="7">
        <f t="shared" si="9"/>
        <v>112.38116383177571</v>
      </c>
      <c r="Z24" s="7" t="s">
        <v>314</v>
      </c>
      <c r="AA24" s="7" t="s">
        <v>315</v>
      </c>
      <c r="AB24" s="7">
        <f t="shared" si="10"/>
        <v>417.55845761495328</v>
      </c>
    </row>
    <row r="25" spans="1:28" s="7" customFormat="1">
      <c r="A25" s="7">
        <v>11153</v>
      </c>
      <c r="B25" s="7" t="s">
        <v>15</v>
      </c>
      <c r="C25" s="7">
        <v>74996</v>
      </c>
      <c r="D25" s="7">
        <v>944</v>
      </c>
      <c r="E25" s="7">
        <f t="shared" si="0"/>
        <v>79.444915254237287</v>
      </c>
      <c r="F25" s="7">
        <f t="shared" si="1"/>
        <v>47666.949152542373</v>
      </c>
      <c r="G25" s="7">
        <f t="shared" si="2"/>
        <v>4766694.9152542371</v>
      </c>
      <c r="H25" s="7">
        <v>100</v>
      </c>
      <c r="I25" s="7" t="s">
        <v>316</v>
      </c>
      <c r="J25" s="7">
        <f t="shared" si="3"/>
        <v>1458608.6440677966</v>
      </c>
      <c r="K25" s="7" t="s">
        <v>78</v>
      </c>
      <c r="L25" s="7">
        <f t="shared" si="4"/>
        <v>6126.1563050847453</v>
      </c>
      <c r="M25" s="7" t="s">
        <v>317</v>
      </c>
      <c r="N25" s="7">
        <f t="shared" si="5"/>
        <v>2015.5054243728814</v>
      </c>
      <c r="O25" s="7" t="s">
        <v>318</v>
      </c>
      <c r="P25" s="7" t="s">
        <v>319</v>
      </c>
      <c r="Q25" s="7">
        <f t="shared" si="6"/>
        <v>251.17240850847458</v>
      </c>
      <c r="R25" s="7" t="s">
        <v>245</v>
      </c>
      <c r="S25" s="7" t="s">
        <v>320</v>
      </c>
      <c r="T25" s="7">
        <f t="shared" si="7"/>
        <v>245.04625220338983</v>
      </c>
      <c r="U25" s="7" t="s">
        <v>321</v>
      </c>
      <c r="V25" s="7" t="s">
        <v>186</v>
      </c>
      <c r="W25" s="7">
        <f t="shared" si="8"/>
        <v>225.44255202711864</v>
      </c>
      <c r="X25" s="7" t="s">
        <v>322</v>
      </c>
      <c r="Y25" s="7">
        <f t="shared" si="9"/>
        <v>241.37055842033894</v>
      </c>
      <c r="Z25" s="7" t="s">
        <v>323</v>
      </c>
      <c r="AA25" s="7" t="s">
        <v>324</v>
      </c>
      <c r="AB25" s="7">
        <f t="shared" si="10"/>
        <v>437.40756018305086</v>
      </c>
    </row>
    <row r="26" spans="1:28">
      <c r="B26" s="7"/>
      <c r="C26" s="25"/>
      <c r="D26" s="7"/>
    </row>
    <row r="27" spans="1:28">
      <c r="B27" s="7"/>
      <c r="C27" s="25"/>
      <c r="D27" s="7"/>
    </row>
    <row r="28" spans="1:28">
      <c r="B28" s="7"/>
      <c r="C28" s="25"/>
      <c r="D28" s="7"/>
    </row>
    <row r="29" spans="1:28">
      <c r="B29" s="7"/>
      <c r="C29" s="25"/>
      <c r="D29" s="7"/>
    </row>
    <row r="30" spans="1:28">
      <c r="B30" s="7"/>
      <c r="C30" s="25"/>
      <c r="D30" s="7"/>
    </row>
    <row r="31" spans="1:28">
      <c r="B31" s="7"/>
      <c r="C31" s="25"/>
      <c r="D31" s="7"/>
    </row>
    <row r="33" s="4" customFormat="1"/>
    <row r="34" s="4" customFormat="1"/>
    <row r="35" s="4" customFormat="1"/>
    <row r="36" s="4" customFormat="1"/>
    <row r="38" s="4" customFormat="1"/>
    <row r="39" s="4" customFormat="1"/>
    <row r="40" s="4" customFormat="1"/>
    <row r="41" s="4" customForma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73A06E-6934-4766-83F5-B0F7DD6C29D9}"/>
</file>

<file path=customXml/itemProps2.xml><?xml version="1.0" encoding="utf-8"?>
<ds:datastoreItem xmlns:ds="http://schemas.openxmlformats.org/officeDocument/2006/customXml" ds:itemID="{C8B480F3-BE4B-49D8-B0B2-0232E4C8CE2C}"/>
</file>

<file path=customXml/itemProps3.xml><?xml version="1.0" encoding="utf-8"?>
<ds:datastoreItem xmlns:ds="http://schemas.openxmlformats.org/officeDocument/2006/customXml" ds:itemID="{B5E37D79-E8FD-4F65-96FB-CE8FC82F3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Taylah Bennett</cp:lastModifiedBy>
  <cp:revision/>
  <dcterms:created xsi:type="dcterms:W3CDTF">2026-04-24T03:42:05Z</dcterms:created>
  <dcterms:modified xsi:type="dcterms:W3CDTF">2026-08-12T06:30:37Z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
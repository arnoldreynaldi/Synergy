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/Users/bennett.ta/Library/CloudStorage/OneDrive-wehi.edu.au/Groom Lab/3. Projects/1. Synergy (Syn)/Compliled data for modelling/CD8 data/"/>
    </mc:Choice>
  </mc:AlternateContent>
  <xr:revisionPtr revIDLastSave="4" documentId="13_ncr:1_{A4CE587D-2DA6-7943-97A2-4376DDBF4147}" xr6:coauthVersionLast="47" xr6:coauthVersionMax="47" xr10:uidLastSave="{85E17983-77B5-4D5D-A43D-A3D49D11B53B}"/>
  <bookViews>
    <workbookView xWindow="6980" yWindow="1020" windowWidth="51200" windowHeight="26660" firstSheet="2" xr2:uid="{715B3BFF-636C-194E-90D4-36818E15DA5F}"/>
  </bookViews>
  <sheets>
    <sheet name="Start here" sheetId="2" r:id="rId1"/>
    <sheet name="Dictionary" sheetId="7" r:id="rId2"/>
    <sheet name="Processed data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/>
  <c r="F2" i="8" s="1"/>
  <c r="E3" i="8"/>
  <c r="F3" i="8" s="1"/>
  <c r="E4" i="8"/>
  <c r="F4" i="8" s="1"/>
  <c r="E5" i="8"/>
  <c r="F5" i="8" s="1"/>
  <c r="E6" i="8"/>
  <c r="F6" i="8"/>
  <c r="G6" i="8" s="1"/>
  <c r="J6" i="8" s="1"/>
  <c r="L6" i="8" s="1"/>
  <c r="S6" i="8" s="1"/>
  <c r="E7" i="8"/>
  <c r="F7" i="8" s="1"/>
  <c r="E8" i="8"/>
  <c r="F8" i="8" s="1"/>
  <c r="E9" i="8"/>
  <c r="F9" i="8" s="1"/>
  <c r="G9" i="8" s="1"/>
  <c r="J9" i="8" s="1"/>
  <c r="L9" i="8" s="1"/>
  <c r="S9" i="8" s="1"/>
  <c r="E10" i="8"/>
  <c r="F10" i="8" s="1"/>
  <c r="G10" i="8" s="1"/>
  <c r="J10" i="8" s="1"/>
  <c r="L10" i="8" s="1"/>
  <c r="S10" i="8" s="1"/>
  <c r="E11" i="8"/>
  <c r="F11" i="8" s="1"/>
  <c r="G11" i="8" s="1"/>
  <c r="J11" i="8" s="1"/>
  <c r="L11" i="8" s="1"/>
  <c r="S11" i="8" s="1"/>
  <c r="E12" i="8"/>
  <c r="F12" i="8" s="1"/>
  <c r="G12" i="8" s="1"/>
  <c r="J12" i="8" s="1"/>
  <c r="L12" i="8" s="1"/>
  <c r="S12" i="8" s="1"/>
  <c r="E13" i="8"/>
  <c r="F13" i="8" s="1"/>
  <c r="G13" i="8" s="1"/>
  <c r="J13" i="8" s="1"/>
  <c r="L13" i="8" s="1"/>
  <c r="S13" i="8" s="1"/>
  <c r="E14" i="8"/>
  <c r="F14" i="8" s="1"/>
  <c r="G14" i="8" s="1"/>
  <c r="J14" i="8" s="1"/>
  <c r="L14" i="8" s="1"/>
  <c r="S14" i="8" s="1"/>
  <c r="E15" i="8"/>
  <c r="F15" i="8"/>
  <c r="G15" i="8" s="1"/>
  <c r="J15" i="8" s="1"/>
  <c r="L15" i="8" s="1"/>
  <c r="S15" i="8" s="1"/>
  <c r="E16" i="8"/>
  <c r="F16" i="8" s="1"/>
  <c r="G16" i="8" s="1"/>
  <c r="J16" i="8" s="1"/>
  <c r="L16" i="8" s="1"/>
  <c r="S16" i="8" s="1"/>
  <c r="E17" i="8"/>
  <c r="F17" i="8"/>
  <c r="G17" i="8" s="1"/>
  <c r="J17" i="8" s="1"/>
  <c r="L17" i="8" s="1"/>
  <c r="S17" i="8" s="1"/>
  <c r="E18" i="8"/>
  <c r="F18" i="8" s="1"/>
  <c r="G18" i="8" s="1"/>
  <c r="J18" i="8" s="1"/>
  <c r="L18" i="8" s="1"/>
  <c r="S18" i="8" s="1"/>
  <c r="E19" i="8"/>
  <c r="F19" i="8" s="1"/>
  <c r="G19" i="8" s="1"/>
  <c r="J19" i="8" s="1"/>
  <c r="L19" i="8" s="1"/>
  <c r="S19" i="8" s="1"/>
  <c r="E20" i="8"/>
  <c r="F20" i="8" s="1"/>
  <c r="G20" i="8" s="1"/>
  <c r="J20" i="8" s="1"/>
  <c r="L20" i="8" s="1"/>
  <c r="S20" i="8" s="1"/>
  <c r="E21" i="8"/>
  <c r="F21" i="8" s="1"/>
  <c r="G21" i="8" s="1"/>
  <c r="J21" i="8" s="1"/>
  <c r="L21" i="8" s="1"/>
  <c r="S21" i="8" s="1"/>
  <c r="E22" i="8"/>
  <c r="F22" i="8" s="1"/>
  <c r="G22" i="8" s="1"/>
  <c r="J22" i="8" s="1"/>
  <c r="L22" i="8" s="1"/>
  <c r="S22" i="8" s="1"/>
  <c r="E23" i="8"/>
  <c r="F23" i="8" s="1"/>
  <c r="G23" i="8" s="1"/>
  <c r="J23" i="8" s="1"/>
  <c r="L23" i="8" s="1"/>
  <c r="S23" i="8" s="1"/>
  <c r="E24" i="8"/>
  <c r="F24" i="8" s="1"/>
  <c r="G24" i="8" s="1"/>
  <c r="J24" i="8" s="1"/>
  <c r="L24" i="8" s="1"/>
  <c r="S24" i="8" s="1"/>
  <c r="E25" i="8"/>
  <c r="F25" i="8"/>
  <c r="G25" i="8" s="1"/>
  <c r="J25" i="8" s="1"/>
  <c r="L25" i="8" s="1"/>
  <c r="S25" i="8" s="1"/>
  <c r="G8" i="8" l="1"/>
  <c r="J8" i="8" s="1"/>
  <c r="L8" i="8" s="1"/>
  <c r="S8" i="8" s="1"/>
  <c r="G5" i="8"/>
  <c r="J5" i="8" s="1"/>
  <c r="L5" i="8" s="1"/>
  <c r="S5" i="8" s="1"/>
  <c r="G4" i="8"/>
  <c r="J4" i="8" s="1"/>
  <c r="L4" i="8" s="1"/>
  <c r="S4" i="8" s="1"/>
  <c r="G7" i="8"/>
  <c r="J7" i="8" s="1"/>
  <c r="L7" i="8" s="1"/>
  <c r="S7" i="8" s="1"/>
  <c r="G3" i="8"/>
  <c r="J3" i="8" s="1"/>
  <c r="L3" i="8" s="1"/>
  <c r="S3" i="8" s="1"/>
  <c r="G2" i="8"/>
  <c r="J2" i="8" s="1"/>
  <c r="L2" i="8" s="1"/>
  <c r="S2" i="8" s="1"/>
  <c r="N23" i="8"/>
  <c r="Q23" i="8"/>
  <c r="V24" i="8"/>
  <c r="N24" i="8"/>
  <c r="V14" i="8"/>
  <c r="N14" i="8"/>
  <c r="N13" i="8"/>
  <c r="Q13" i="8"/>
  <c r="V20" i="8"/>
  <c r="N20" i="8"/>
  <c r="Q20" i="8"/>
  <c r="Y20" i="8"/>
  <c r="Q6" i="8"/>
  <c r="V6" i="8"/>
  <c r="N6" i="8"/>
  <c r="Y6" i="8"/>
  <c r="N17" i="8"/>
  <c r="Q17" i="8"/>
  <c r="V17" i="8"/>
  <c r="Y17" i="8"/>
  <c r="V11" i="8"/>
  <c r="Y11" i="8"/>
  <c r="N11" i="8"/>
  <c r="Q11" i="8"/>
  <c r="N10" i="8"/>
  <c r="Y10" i="8"/>
  <c r="Q10" i="8"/>
  <c r="V10" i="8"/>
  <c r="N9" i="8"/>
  <c r="Y9" i="8"/>
  <c r="Q9" i="8"/>
  <c r="V9" i="8"/>
  <c r="Y22" i="8"/>
  <c r="V22" i="8"/>
  <c r="N22" i="8"/>
  <c r="Q22" i="8"/>
  <c r="Q16" i="8"/>
  <c r="V16" i="8"/>
  <c r="Y16" i="8"/>
  <c r="N16" i="8"/>
  <c r="Y12" i="8"/>
  <c r="V12" i="8"/>
  <c r="N12" i="8"/>
  <c r="Q12" i="8"/>
  <c r="N19" i="8"/>
  <c r="Q19" i="8"/>
  <c r="V19" i="8"/>
  <c r="Y19" i="8"/>
  <c r="Q18" i="8"/>
  <c r="N18" i="8"/>
  <c r="V18" i="8"/>
  <c r="Y18" i="8"/>
  <c r="V21" i="8"/>
  <c r="Y21" i="8"/>
  <c r="N21" i="8"/>
  <c r="Q21" i="8"/>
  <c r="Q25" i="8"/>
  <c r="V23" i="8"/>
  <c r="Q15" i="8"/>
  <c r="V13" i="8"/>
  <c r="N25" i="8"/>
  <c r="Q24" i="8"/>
  <c r="N15" i="8"/>
  <c r="Q14" i="8"/>
  <c r="Y14" i="8"/>
  <c r="Y25" i="8"/>
  <c r="Y24" i="8"/>
  <c r="V25" i="8"/>
  <c r="Y23" i="8"/>
  <c r="V15" i="8"/>
  <c r="Y13" i="8"/>
  <c r="Y15" i="8"/>
  <c r="V3" i="8" l="1"/>
  <c r="N3" i="8"/>
  <c r="Q3" i="8"/>
  <c r="Y3" i="8"/>
  <c r="Y5" i="8"/>
  <c r="N5" i="8"/>
  <c r="Q5" i="8"/>
  <c r="V5" i="8"/>
  <c r="Y2" i="8"/>
  <c r="Q2" i="8"/>
  <c r="V2" i="8"/>
  <c r="N2" i="8"/>
  <c r="N7" i="8"/>
  <c r="Q7" i="8"/>
  <c r="V7" i="8"/>
  <c r="Y7" i="8"/>
  <c r="Y4" i="8"/>
  <c r="N4" i="8"/>
  <c r="Q4" i="8"/>
  <c r="V4" i="8"/>
  <c r="Q8" i="8"/>
  <c r="Y8" i="8"/>
  <c r="N8" i="8"/>
  <c r="V8" i="8"/>
</calcChain>
</file>

<file path=xl/sharedStrings.xml><?xml version="1.0" encoding="utf-8"?>
<sst xmlns="http://schemas.openxmlformats.org/spreadsheetml/2006/main" count="383" uniqueCount="219">
  <si>
    <t>Experiment code:</t>
  </si>
  <si>
    <t>Syn.25.11</t>
  </si>
  <si>
    <t>Experiment date:</t>
  </si>
  <si>
    <t>Time point (day):</t>
  </si>
  <si>
    <t>Replicate number:</t>
  </si>
  <si>
    <t>Analysis (CD4 or CD8):</t>
  </si>
  <si>
    <t xml:space="preserve">CD8 </t>
  </si>
  <si>
    <t>Exp label</t>
  </si>
  <si>
    <t>Mouse #</t>
  </si>
  <si>
    <t>Vaccine</t>
  </si>
  <si>
    <t>Sex</t>
  </si>
  <si>
    <t>HexaPro TM</t>
  </si>
  <si>
    <t>F</t>
  </si>
  <si>
    <t>HexaPro TMd21</t>
  </si>
  <si>
    <t>HexaPro SOL</t>
  </si>
  <si>
    <t>HexaPro IC</t>
  </si>
  <si>
    <t>Counting beads: CountBright Absolute Count</t>
  </si>
  <si>
    <t>REF: C36950</t>
  </si>
  <si>
    <t>Lot: 2466366</t>
  </si>
  <si>
    <t>0.5 x 10^5 beads/50 µL</t>
  </si>
  <si>
    <t>Beads were diluted 1:50 = 1000 beads/50 µL, or 20 beads/µL</t>
  </si>
  <si>
    <t xml:space="preserve">Pre-enrichment, 5 µL of cell pellet resuspension (total 100 µL) was taken for cell counts </t>
  </si>
  <si>
    <t xml:space="preserve">After staining with antibodies, the sample was re-suspended in 150 µL of diluted beads </t>
  </si>
  <si>
    <t>Cells/µL = Number of cells/number of beads x (150 µL/5 µL * 20 beads/µL)</t>
  </si>
  <si>
    <t>Core populations</t>
  </si>
  <si>
    <t>Category</t>
  </si>
  <si>
    <t>Term / Column Component</t>
  </si>
  <si>
    <t>Definition</t>
  </si>
  <si>
    <t>Core population</t>
  </si>
  <si>
    <t>Tetramer+ CD8 T cells</t>
  </si>
  <si>
    <t>Antigen-specific CD8 T cells identified using peptide–MHC tetramers</t>
  </si>
  <si>
    <t>Population type</t>
  </si>
  <si>
    <t>Memory</t>
  </si>
  <si>
    <t>CD127+ KLRG1− cells; memory-forming potential</t>
  </si>
  <si>
    <t>Effector</t>
  </si>
  <si>
    <t>CD127− KLRG1+ cells; terminal effector phenotype</t>
  </si>
  <si>
    <t>TCM: Central memory</t>
  </si>
  <si>
    <t xml:space="preserve">Lymphoid-homing memory cells </t>
  </si>
  <si>
    <t>TEM: Effector memory</t>
  </si>
  <si>
    <t xml:space="preserve">Memory T cells that circulate in the peripheral tissues and blood, providing immediate, rapid effector function </t>
  </si>
  <si>
    <t>Tscm: Stem cell memory</t>
  </si>
  <si>
    <t>Self-renewing memory population; give rise to Tcm and Tem; long-lived reservoir</t>
  </si>
  <si>
    <t>Tfh-like</t>
  </si>
  <si>
    <t xml:space="preserve">CXCR5+ PD-1+; follicular helper-like phenotype </t>
  </si>
  <si>
    <t>Interpreting column labels</t>
  </si>
  <si>
    <t>Term</t>
  </si>
  <si>
    <t>% (percentage)</t>
  </si>
  <si>
    <t>Proportion of the specified parent population</t>
  </si>
  <si>
    <t>Number</t>
  </si>
  <si>
    <t>Absolute cell count in the subset</t>
  </si>
  <si>
    <t>Number of cell events</t>
  </si>
  <si>
    <t xml:space="preserve">Number of bead events </t>
  </si>
  <si>
    <t>Cell/bead ratio</t>
  </si>
  <si>
    <t>Cells/µL</t>
  </si>
  <si>
    <t>Cells in total sample vol</t>
  </si>
  <si>
    <t>Total sample vol (µL)</t>
  </si>
  <si>
    <t>CD8 T cells (% of live lymphocytes)</t>
  </si>
  <si>
    <t>Number of CD8 T cells</t>
  </si>
  <si>
    <t>Tetramer+ (% of CD8)</t>
  </si>
  <si>
    <t>Number of tetramer+ cells</t>
  </si>
  <si>
    <t>CD127+ KLRG1- memory (% tetramer)</t>
  </si>
  <si>
    <t>Number of CD127+ KLRG1- memory</t>
  </si>
  <si>
    <t>CD62L+ CX3CR1- TCM (% memory)</t>
  </si>
  <si>
    <t>CD127+ CD62L+ CX3CR1- KLRG1- TCM (% tetramer)</t>
  </si>
  <si>
    <t>Number CD127+ CD62L+ CX3CR1-KLRG1- TCM</t>
  </si>
  <si>
    <t>PD-1+ CXCR5+ TFH like (% tetramer)</t>
  </si>
  <si>
    <t>Number of CXCR5+ PD-1+ TFH like</t>
  </si>
  <si>
    <t>TCF1+ SLAMF6+ Tsl (% memory)</t>
  </si>
  <si>
    <t>CD127+ KLRG1- TCF1+ SLAMF6+ Tsl (% tetramer)</t>
  </si>
  <si>
    <t>Number of CD127+ KLRG1- TCF1+ SLAMF6+ Tsl cells</t>
  </si>
  <si>
    <t>CD62L- CX3CR1hi TEM (% memory)</t>
  </si>
  <si>
    <t>CD62L- CX3CR1hi TEM (% tetramer)</t>
  </si>
  <si>
    <t>Number CD62L- CX3CR1hi TEM</t>
  </si>
  <si>
    <t>9.72 %</t>
  </si>
  <si>
    <t>0.046 %</t>
  </si>
  <si>
    <t>93.8 %</t>
  </si>
  <si>
    <t>13.3 %</t>
  </si>
  <si>
    <t>12.5 %</t>
  </si>
  <si>
    <t>18.8 %</t>
  </si>
  <si>
    <t>100 %</t>
  </si>
  <si>
    <t>33.3 %</t>
  </si>
  <si>
    <t>31.2 %</t>
  </si>
  <si>
    <t>17.3 %</t>
  </si>
  <si>
    <t>0.054 %</t>
  </si>
  <si>
    <t>87.7 %</t>
  </si>
  <si>
    <t>21.1 %</t>
  </si>
  <si>
    <t>18.5 %</t>
  </si>
  <si>
    <t>11.0 %</t>
  </si>
  <si>
    <t>16.4 %</t>
  </si>
  <si>
    <t>21.7 %</t>
  </si>
  <si>
    <t>0.026 %</t>
  </si>
  <si>
    <t>78.6 %</t>
  </si>
  <si>
    <t>9.09 %</t>
  </si>
  <si>
    <t>7.14 %</t>
  </si>
  <si>
    <t>4.76 %</t>
  </si>
  <si>
    <t>TM</t>
  </si>
  <si>
    <t>19.5 %</t>
  </si>
  <si>
    <t>0.029 %</t>
  </si>
  <si>
    <t>96.3 %</t>
  </si>
  <si>
    <t>3.85 %</t>
  </si>
  <si>
    <t>3.70 %</t>
  </si>
  <si>
    <t>38.5 %</t>
  </si>
  <si>
    <t>37.0 %</t>
  </si>
  <si>
    <t>16.7 %</t>
  </si>
  <si>
    <t>4.00 %</t>
  </si>
  <si>
    <t>20.0 %</t>
  </si>
  <si>
    <t>16.9 %</t>
  </si>
  <si>
    <t>0.031 %</t>
  </si>
  <si>
    <t>93.2 %</t>
  </si>
  <si>
    <t>17.1 %</t>
  </si>
  <si>
    <t>15.9 %</t>
  </si>
  <si>
    <t>2.27 %</t>
  </si>
  <si>
    <t>26.8 %</t>
  </si>
  <si>
    <t>25.0 %</t>
  </si>
  <si>
    <t>TMd21</t>
  </si>
  <si>
    <t>25.7 %</t>
  </si>
  <si>
    <t>0.018 %</t>
  </si>
  <si>
    <t>95.7 %</t>
  </si>
  <si>
    <t>36.4 %</t>
  </si>
  <si>
    <t>34.8 %</t>
  </si>
  <si>
    <t>6.52 %</t>
  </si>
  <si>
    <t>15.2 %</t>
  </si>
  <si>
    <t>0.013 %</t>
  </si>
  <si>
    <t>86.2 %</t>
  </si>
  <si>
    <t>24.0 %</t>
  </si>
  <si>
    <t>20.7 %</t>
  </si>
  <si>
    <t>10.3 %</t>
  </si>
  <si>
    <t>66.7 %</t>
  </si>
  <si>
    <t>13.8 %</t>
  </si>
  <si>
    <t>16.0 %</t>
  </si>
  <si>
    <t>23.6 %</t>
  </si>
  <si>
    <t>0.020 %</t>
  </si>
  <si>
    <t>98.5 %</t>
  </si>
  <si>
    <t>31.3 %</t>
  </si>
  <si>
    <t>30.9 %</t>
  </si>
  <si>
    <t>1.47 %</t>
  </si>
  <si>
    <t>95.2 %</t>
  </si>
  <si>
    <t>29.4 %</t>
  </si>
  <si>
    <t>13.4 %</t>
  </si>
  <si>
    <t>13.2 %</t>
  </si>
  <si>
    <t>24.7 %</t>
  </si>
  <si>
    <t>3.91e-3 %</t>
  </si>
  <si>
    <t>0 %</t>
  </si>
  <si>
    <t>26.1 %</t>
  </si>
  <si>
    <t>0.017 %</t>
  </si>
  <si>
    <t>83.7 %</t>
  </si>
  <si>
    <t>13.9 %</t>
  </si>
  <si>
    <t>11.6 %</t>
  </si>
  <si>
    <t>2.33 %</t>
  </si>
  <si>
    <t>20.9 %</t>
  </si>
  <si>
    <t>26.4 %</t>
  </si>
  <si>
    <t>0.022 %</t>
  </si>
  <si>
    <t>88.2 %</t>
  </si>
  <si>
    <t>6.67 %</t>
  </si>
  <si>
    <t>5.88 %</t>
  </si>
  <si>
    <t>50.0 %</t>
  </si>
  <si>
    <t>2.94 %</t>
  </si>
  <si>
    <t>30.0 %</t>
  </si>
  <si>
    <t>26.5 %</t>
  </si>
  <si>
    <t>SOL</t>
  </si>
  <si>
    <t>0.014 %</t>
  </si>
  <si>
    <t>27.8 %</t>
  </si>
  <si>
    <t>11.1 %</t>
  </si>
  <si>
    <t>0.015 %</t>
  </si>
  <si>
    <t>60.0 %</t>
  </si>
  <si>
    <t>52.9 %</t>
  </si>
  <si>
    <t>15.7 %</t>
  </si>
  <si>
    <t>51.0 %</t>
  </si>
  <si>
    <t>2.22 %</t>
  </si>
  <si>
    <t>1.96 %</t>
  </si>
  <si>
    <t>25.2 %</t>
  </si>
  <si>
    <t>96.8 %</t>
  </si>
  <si>
    <t>26.7 %</t>
  </si>
  <si>
    <t>25.8 %</t>
  </si>
  <si>
    <t>19.4 %</t>
  </si>
  <si>
    <t>23.3 %</t>
  </si>
  <si>
    <t>22.6 %</t>
  </si>
  <si>
    <t>27.3 %</t>
  </si>
  <si>
    <t>11.8 %</t>
  </si>
  <si>
    <t>17.6 %</t>
  </si>
  <si>
    <t>23.5 %</t>
  </si>
  <si>
    <t>27.6 %</t>
  </si>
  <si>
    <t>7.06e-3 %</t>
  </si>
  <si>
    <t>21.4 %</t>
  </si>
  <si>
    <t>29.5 %</t>
  </si>
  <si>
    <t>6.45e-3 %</t>
  </si>
  <si>
    <t>92.9 %</t>
  </si>
  <si>
    <t>23.1 %</t>
  </si>
  <si>
    <t>7.69 %</t>
  </si>
  <si>
    <t>IC</t>
  </si>
  <si>
    <t>24.3 %</t>
  </si>
  <si>
    <t>0.025 %</t>
  </si>
  <si>
    <t>18.3 %</t>
  </si>
  <si>
    <t>17.2 %</t>
  </si>
  <si>
    <t>20.3 %</t>
  </si>
  <si>
    <t>23.8 %</t>
  </si>
  <si>
    <t>7.41 %</t>
  </si>
  <si>
    <t>22.2 %</t>
  </si>
  <si>
    <t>24.2 %</t>
  </si>
  <si>
    <t>0.050 %</t>
  </si>
  <si>
    <t>95.5 %</t>
  </si>
  <si>
    <t>16.5 %</t>
  </si>
  <si>
    <t>15.8 %</t>
  </si>
  <si>
    <t>8.27 %</t>
  </si>
  <si>
    <t>15.0 %</t>
  </si>
  <si>
    <t>29.9 %</t>
  </si>
  <si>
    <t>28.6 %</t>
  </si>
  <si>
    <t>28.4 %</t>
  </si>
  <si>
    <t>97.9 %</t>
  </si>
  <si>
    <t>19.1 %</t>
  </si>
  <si>
    <t>6.25 %</t>
  </si>
  <si>
    <t>27.7 %</t>
  </si>
  <si>
    <t>27.1 %</t>
  </si>
  <si>
    <t>26.0 %</t>
  </si>
  <si>
    <t>98.3 %</t>
  </si>
  <si>
    <t>13.6 %</t>
  </si>
  <si>
    <t>15.3 %</t>
  </si>
  <si>
    <t>97.4 %</t>
  </si>
  <si>
    <t>7.89 %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</si>
</sst>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color theme="3" tint="0.499984740745262"/>
      <name val="Helvetica"/>
      <family val="2"/>
    </font>
    <font>
      <sz val="12"/>
      <color theme="5" tint="0.39997558519241921"/>
      <name val="Helvetica"/>
      <family val="2"/>
    </font>
    <font>
      <sz val="12"/>
      <color theme="8" tint="0.39997558519241921"/>
      <name val="Helvetica"/>
      <family val="2"/>
    </font>
    <font>
      <sz val="12"/>
      <color theme="6" tint="0.39997558519241921"/>
      <name val="Helvetica"/>
      <family val="2"/>
    </font>
    <font>
      <b/>
      <i/>
      <sz val="12"/>
      <color theme="1"/>
      <name val="Helvetica"/>
      <family val="2"/>
    </font>
    <font>
      <b/>
      <i/>
      <sz val="12"/>
      <color theme="3" tint="0.499984740745262"/>
      <name val="Helvetica"/>
      <family val="2"/>
    </font>
    <font>
      <b/>
      <i/>
      <sz val="12"/>
      <color theme="5" tint="0.39997558519241921"/>
      <name val="Helvetica"/>
      <family val="2"/>
    </font>
    <font>
      <b/>
      <i/>
      <sz val="12"/>
      <color theme="6" tint="0.39997558519241921"/>
      <name val="Helvetica"/>
      <family val="2"/>
    </font>
    <font>
      <b/>
      <i/>
      <sz val="12"/>
      <color theme="8" tint="0.39997558519241921"/>
      <name val="Helvetica"/>
      <family val="2"/>
    </font>
    <font>
      <b/>
      <sz val="14"/>
      <color theme="1"/>
      <name val="Helvetica"/>
      <family val="2"/>
    </font>
    <font>
      <sz val="14"/>
      <color theme="1"/>
      <name val="Aptos Narrow"/>
      <family val="2"/>
      <scheme val="minor"/>
    </font>
    <font>
      <sz val="14"/>
      <color theme="3" tint="0.499984740745262"/>
      <name val="Helvetica"/>
      <family val="2"/>
    </font>
    <font>
      <sz val="14"/>
      <color theme="5" tint="0.39997558519241921"/>
      <name val="Helvetica"/>
      <family val="2"/>
    </font>
    <font>
      <sz val="14"/>
      <color theme="6" tint="0.39997558519241921"/>
      <name val="Helvetica"/>
      <family val="2"/>
    </font>
    <font>
      <sz val="14"/>
      <color theme="8" tint="0.39997558519241921"/>
      <name val="Helvetica"/>
      <family val="2"/>
    </font>
    <font>
      <sz val="14"/>
      <color theme="1"/>
      <name val="Helvetica"/>
      <family val="2"/>
    </font>
    <font>
      <sz val="16"/>
      <color theme="1"/>
      <name val="Helvetica"/>
      <family val="2"/>
    </font>
    <font>
      <sz val="12"/>
      <color theme="3" tint="0.499984740745262"/>
      <name val="Aptos Narrow"/>
      <family val="2"/>
      <scheme val="minor"/>
    </font>
    <font>
      <sz val="12"/>
      <color theme="5" tint="0.39997558519241921"/>
      <name val="Aptos Narrow"/>
      <family val="2"/>
      <scheme val="minor"/>
    </font>
    <font>
      <sz val="12"/>
      <color theme="6" tint="0.3999755851924192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sz val="10"/>
      <color theme="3" tint="0.499984740745262"/>
      <name val="Arial"/>
      <family val="2"/>
    </font>
    <font>
      <sz val="10"/>
      <color theme="5" tint="0.39997558519241921"/>
      <name val="Arial"/>
      <family val="2"/>
    </font>
    <font>
      <sz val="10"/>
      <color theme="6" tint="0.39997558519241921"/>
      <name val="Arial"/>
      <family val="2"/>
    </font>
    <font>
      <sz val="10"/>
      <color theme="8" tint="0.39997558519241921"/>
      <name val="Arial"/>
      <family val="2"/>
    </font>
    <font>
      <sz val="14"/>
      <color theme="3" tint="0.499984740745262"/>
      <name val="Aptos Narrow"/>
      <family val="2"/>
      <scheme val="minor"/>
    </font>
    <font>
      <sz val="14"/>
      <color theme="5" tint="0.39997558519241921"/>
      <name val="Aptos Narrow"/>
      <family val="2"/>
      <scheme val="minor"/>
    </font>
    <font>
      <sz val="14"/>
      <color theme="6" tint="0.39997558519241921"/>
      <name val="Aptos Narrow"/>
      <family val="2"/>
      <scheme val="minor"/>
    </font>
    <font>
      <sz val="14"/>
      <color theme="8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/>
    <xf numFmtId="0" fontId="13" fillId="0" borderId="0" xfId="0" applyFont="1"/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4" fillId="0" borderId="6" xfId="0" applyFont="1" applyBorder="1" applyAlignment="1">
      <alignment horizontal="center" wrapText="1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0" xfId="0" applyFont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" fillId="0" borderId="0" xfId="0" applyFont="1"/>
    <xf numFmtId="0" fontId="19" fillId="0" borderId="0" xfId="0" applyFont="1"/>
    <xf numFmtId="0" fontId="18" fillId="0" borderId="2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20" fillId="0" borderId="0" xfId="0" applyFont="1"/>
    <xf numFmtId="0" fontId="12" fillId="0" borderId="18" xfId="0" applyFont="1" applyBorder="1" applyAlignment="1">
      <alignment horizontal="center"/>
    </xf>
    <xf numFmtId="0" fontId="20" fillId="0" borderId="5" xfId="0" applyFont="1" applyBorder="1"/>
    <xf numFmtId="0" fontId="20" fillId="0" borderId="7" xfId="0" applyFont="1" applyBorder="1"/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20" fillId="0" borderId="2" xfId="0" applyFont="1" applyBorder="1"/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21" fillId="0" borderId="2" xfId="0" applyFont="1" applyBorder="1"/>
    <xf numFmtId="0" fontId="21" fillId="0" borderId="5" xfId="0" applyFont="1" applyBorder="1"/>
    <xf numFmtId="0" fontId="21" fillId="0" borderId="7" xfId="0" applyFont="1" applyBorder="1"/>
    <xf numFmtId="0" fontId="22" fillId="0" borderId="2" xfId="0" applyFont="1" applyBorder="1"/>
    <xf numFmtId="0" fontId="22" fillId="0" borderId="5" xfId="0" applyFont="1" applyBorder="1"/>
    <xf numFmtId="0" fontId="22" fillId="0" borderId="7" xfId="0" applyFont="1" applyBorder="1"/>
    <xf numFmtId="0" fontId="23" fillId="0" borderId="2" xfId="0" applyFont="1" applyBorder="1"/>
    <xf numFmtId="0" fontId="23" fillId="0" borderId="5" xfId="0" applyFont="1" applyBorder="1"/>
    <xf numFmtId="0" fontId="23" fillId="0" borderId="7" xfId="0" applyFont="1" applyBorder="1"/>
    <xf numFmtId="0" fontId="3" fillId="0" borderId="0" xfId="0" applyFont="1" applyAlignment="1">
      <alignment horizontal="center"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8" fillId="0" borderId="4" xfId="0" applyFont="1" applyBorder="1" applyAlignment="1">
      <alignment horizontal="center"/>
    </xf>
    <xf numFmtId="14" fontId="18" fillId="0" borderId="6" xfId="0" applyNumberFormat="1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E7A3-42D3-2E40-8A34-BBE75F4EDA45}">
  <dimension ref="B1:G42"/>
  <sheetViews>
    <sheetView tabSelected="1" workbookViewId="0">
      <selection activeCell="H10" sqref="H10"/>
    </sheetView>
  </sheetViews>
  <sheetFormatPr defaultColWidth="10.875" defaultRowHeight="18.95"/>
  <cols>
    <col min="1" max="1" width="10.875" style="14"/>
    <col min="2" max="2" width="26.875" style="14" customWidth="1"/>
    <col min="3" max="3" width="15.875" style="14" customWidth="1"/>
    <col min="4" max="4" width="21.375" style="14" customWidth="1"/>
    <col min="5" max="6" width="10.875" style="14"/>
    <col min="7" max="7" width="18.625" style="14" customWidth="1"/>
    <col min="8" max="16384" width="10.875" style="14"/>
  </cols>
  <sheetData>
    <row r="1" spans="2:5" ht="20.100000000000001" thickBot="1"/>
    <row r="2" spans="2:5">
      <c r="B2" s="48" t="s">
        <v>0</v>
      </c>
      <c r="C2" s="79" t="s">
        <v>1</v>
      </c>
    </row>
    <row r="3" spans="2:5">
      <c r="B3" s="49" t="s">
        <v>2</v>
      </c>
      <c r="C3" s="80">
        <v>46035</v>
      </c>
    </row>
    <row r="4" spans="2:5">
      <c r="B4" s="49" t="s">
        <v>3</v>
      </c>
      <c r="C4" s="50">
        <v>28</v>
      </c>
    </row>
    <row r="5" spans="2:5">
      <c r="B5" s="49" t="s">
        <v>4</v>
      </c>
      <c r="C5" s="50">
        <v>1</v>
      </c>
    </row>
    <row r="6" spans="2:5" ht="20.100000000000001" thickBot="1">
      <c r="B6" s="51" t="s">
        <v>5</v>
      </c>
      <c r="C6" s="52" t="s">
        <v>6</v>
      </c>
    </row>
    <row r="7" spans="2:5" ht="18.75"/>
    <row r="8" spans="2:5" ht="18.75">
      <c r="B8" s="54" t="s">
        <v>7</v>
      </c>
      <c r="C8" s="57" t="s">
        <v>8</v>
      </c>
      <c r="D8" s="58" t="s">
        <v>9</v>
      </c>
      <c r="E8" s="58" t="s">
        <v>10</v>
      </c>
    </row>
    <row r="9" spans="2:5" ht="20.25">
      <c r="B9" s="59">
        <v>37</v>
      </c>
      <c r="C9" s="15">
        <v>10037</v>
      </c>
      <c r="D9" s="16" t="s">
        <v>11</v>
      </c>
      <c r="E9" s="81" t="s">
        <v>12</v>
      </c>
    </row>
    <row r="10" spans="2:5" ht="20.25">
      <c r="B10" s="55">
        <v>38</v>
      </c>
      <c r="C10" s="17">
        <v>10038</v>
      </c>
      <c r="D10" s="18" t="s">
        <v>11</v>
      </c>
      <c r="E10" s="82" t="s">
        <v>12</v>
      </c>
    </row>
    <row r="11" spans="2:5" ht="20.25">
      <c r="B11" s="55">
        <v>39</v>
      </c>
      <c r="C11" s="17">
        <v>10039</v>
      </c>
      <c r="D11" s="18" t="s">
        <v>11</v>
      </c>
      <c r="E11" s="82" t="s">
        <v>12</v>
      </c>
    </row>
    <row r="12" spans="2:5" ht="20.25">
      <c r="B12" s="55">
        <v>40</v>
      </c>
      <c r="C12" s="17">
        <v>10040</v>
      </c>
      <c r="D12" s="18" t="s">
        <v>11</v>
      </c>
      <c r="E12" s="82" t="s">
        <v>12</v>
      </c>
    </row>
    <row r="13" spans="2:5" ht="20.25">
      <c r="B13" s="55">
        <v>41</v>
      </c>
      <c r="C13" s="17">
        <v>10041</v>
      </c>
      <c r="D13" s="18" t="s">
        <v>11</v>
      </c>
      <c r="E13" s="82" t="s">
        <v>12</v>
      </c>
    </row>
    <row r="14" spans="2:5" ht="20.25">
      <c r="B14" s="56">
        <v>42</v>
      </c>
      <c r="C14" s="19">
        <v>10042</v>
      </c>
      <c r="D14" s="20" t="s">
        <v>11</v>
      </c>
      <c r="E14" s="83" t="s">
        <v>12</v>
      </c>
    </row>
    <row r="15" spans="2:5" ht="18.75">
      <c r="B15" s="62">
        <v>43</v>
      </c>
      <c r="C15" s="21">
        <v>10043</v>
      </c>
      <c r="D15" s="22" t="s">
        <v>13</v>
      </c>
      <c r="E15" s="84" t="s">
        <v>12</v>
      </c>
    </row>
    <row r="16" spans="2:5" ht="18.75">
      <c r="B16" s="63">
        <v>44</v>
      </c>
      <c r="C16" s="23">
        <v>10044</v>
      </c>
      <c r="D16" s="24" t="s">
        <v>13</v>
      </c>
      <c r="E16" s="85" t="s">
        <v>12</v>
      </c>
    </row>
    <row r="17" spans="2:5" ht="18.75">
      <c r="B17" s="63">
        <v>45</v>
      </c>
      <c r="C17" s="23">
        <v>10045</v>
      </c>
      <c r="D17" s="24" t="s">
        <v>13</v>
      </c>
      <c r="E17" s="85" t="s">
        <v>12</v>
      </c>
    </row>
    <row r="18" spans="2:5" ht="18.75">
      <c r="B18" s="63">
        <v>46</v>
      </c>
      <c r="C18" s="23">
        <v>10046</v>
      </c>
      <c r="D18" s="24" t="s">
        <v>13</v>
      </c>
      <c r="E18" s="85" t="s">
        <v>12</v>
      </c>
    </row>
    <row r="19" spans="2:5" ht="18.75">
      <c r="B19" s="63">
        <v>47</v>
      </c>
      <c r="C19" s="23">
        <v>10047</v>
      </c>
      <c r="D19" s="24" t="s">
        <v>13</v>
      </c>
      <c r="E19" s="85" t="s">
        <v>12</v>
      </c>
    </row>
    <row r="20" spans="2:5" ht="18.75">
      <c r="B20" s="64">
        <v>48</v>
      </c>
      <c r="C20" s="25">
        <v>10048</v>
      </c>
      <c r="D20" s="26" t="s">
        <v>13</v>
      </c>
      <c r="E20" s="86" t="s">
        <v>12</v>
      </c>
    </row>
    <row r="21" spans="2:5" ht="18.75">
      <c r="B21" s="65">
        <v>49</v>
      </c>
      <c r="C21" s="27">
        <v>10049</v>
      </c>
      <c r="D21" s="28" t="s">
        <v>14</v>
      </c>
      <c r="E21" s="87" t="s">
        <v>12</v>
      </c>
    </row>
    <row r="22" spans="2:5" ht="18.75">
      <c r="B22" s="66">
        <v>50</v>
      </c>
      <c r="C22" s="29">
        <v>10050</v>
      </c>
      <c r="D22" s="30" t="s">
        <v>14</v>
      </c>
      <c r="E22" s="88" t="s">
        <v>12</v>
      </c>
    </row>
    <row r="23" spans="2:5" ht="18.75">
      <c r="B23" s="66">
        <v>51</v>
      </c>
      <c r="C23" s="29">
        <v>10051</v>
      </c>
      <c r="D23" s="30" t="s">
        <v>14</v>
      </c>
      <c r="E23" s="88" t="s">
        <v>12</v>
      </c>
    </row>
    <row r="24" spans="2:5" ht="18.75">
      <c r="B24" s="66">
        <v>52</v>
      </c>
      <c r="C24" s="29">
        <v>10052</v>
      </c>
      <c r="D24" s="30" t="s">
        <v>14</v>
      </c>
      <c r="E24" s="88" t="s">
        <v>12</v>
      </c>
    </row>
    <row r="25" spans="2:5" ht="18.75">
      <c r="B25" s="66">
        <v>53</v>
      </c>
      <c r="C25" s="29">
        <v>10053</v>
      </c>
      <c r="D25" s="30" t="s">
        <v>14</v>
      </c>
      <c r="E25" s="88" t="s">
        <v>12</v>
      </c>
    </row>
    <row r="26" spans="2:5" ht="18.75">
      <c r="B26" s="67">
        <v>54</v>
      </c>
      <c r="C26" s="60">
        <v>10054</v>
      </c>
      <c r="D26" s="61" t="s">
        <v>14</v>
      </c>
      <c r="E26" s="89" t="s">
        <v>12</v>
      </c>
    </row>
    <row r="27" spans="2:5" ht="18.75">
      <c r="B27" s="68">
        <v>55</v>
      </c>
      <c r="C27" s="31">
        <v>10055</v>
      </c>
      <c r="D27" s="32" t="s">
        <v>15</v>
      </c>
      <c r="E27" s="90" t="s">
        <v>12</v>
      </c>
    </row>
    <row r="28" spans="2:5" ht="18.75">
      <c r="B28" s="69">
        <v>56</v>
      </c>
      <c r="C28" s="33">
        <v>10056</v>
      </c>
      <c r="D28" s="34" t="s">
        <v>15</v>
      </c>
      <c r="E28" s="91" t="s">
        <v>12</v>
      </c>
    </row>
    <row r="29" spans="2:5" ht="18.75">
      <c r="B29" s="69">
        <v>57</v>
      </c>
      <c r="C29" s="33">
        <v>10057</v>
      </c>
      <c r="D29" s="34" t="s">
        <v>15</v>
      </c>
      <c r="E29" s="91" t="s">
        <v>12</v>
      </c>
    </row>
    <row r="30" spans="2:5" ht="18.75">
      <c r="B30" s="69">
        <v>58</v>
      </c>
      <c r="C30" s="33">
        <v>10058</v>
      </c>
      <c r="D30" s="34" t="s">
        <v>15</v>
      </c>
      <c r="E30" s="91" t="s">
        <v>12</v>
      </c>
    </row>
    <row r="31" spans="2:5" ht="18.75">
      <c r="B31" s="69">
        <v>59</v>
      </c>
      <c r="C31" s="33">
        <v>10059</v>
      </c>
      <c r="D31" s="34" t="s">
        <v>15</v>
      </c>
      <c r="E31" s="91" t="s">
        <v>12</v>
      </c>
    </row>
    <row r="32" spans="2:5" ht="18.75">
      <c r="B32" s="70">
        <v>60</v>
      </c>
      <c r="C32" s="35">
        <v>10060</v>
      </c>
      <c r="D32" s="36" t="s">
        <v>15</v>
      </c>
      <c r="E32" s="92" t="s">
        <v>12</v>
      </c>
    </row>
    <row r="33" spans="2:7" ht="18.75"/>
    <row r="34" spans="2:7">
      <c r="B34" s="37" t="s">
        <v>16</v>
      </c>
      <c r="C34" s="38"/>
      <c r="D34" s="39"/>
    </row>
    <row r="35" spans="2:7">
      <c r="B35" s="40" t="s">
        <v>17</v>
      </c>
      <c r="C35" s="41"/>
      <c r="D35" s="42"/>
    </row>
    <row r="36" spans="2:7">
      <c r="B36" s="40" t="s">
        <v>18</v>
      </c>
      <c r="C36" s="41"/>
      <c r="D36" s="42"/>
    </row>
    <row r="37" spans="2:7" ht="20.100000000000001" thickBot="1">
      <c r="B37" s="43" t="s">
        <v>19</v>
      </c>
      <c r="C37" s="44"/>
      <c r="D37" s="45"/>
    </row>
    <row r="38" spans="2:7" ht="20.100000000000001" thickBot="1"/>
    <row r="39" spans="2:7">
      <c r="B39" s="37" t="s">
        <v>20</v>
      </c>
      <c r="C39" s="38"/>
      <c r="D39" s="38"/>
      <c r="E39" s="38"/>
      <c r="F39" s="38"/>
      <c r="G39" s="39"/>
    </row>
    <row r="40" spans="2:7">
      <c r="B40" s="40" t="s">
        <v>21</v>
      </c>
      <c r="C40" s="41"/>
      <c r="D40" s="41"/>
      <c r="E40" s="41"/>
      <c r="F40" s="41"/>
      <c r="G40" s="42"/>
    </row>
    <row r="41" spans="2:7">
      <c r="B41" s="40" t="s">
        <v>22</v>
      </c>
      <c r="C41" s="41"/>
      <c r="D41" s="41"/>
      <c r="E41" s="41"/>
      <c r="F41" s="41"/>
      <c r="G41" s="42"/>
    </row>
    <row r="42" spans="2:7" ht="20.100000000000001" thickBot="1">
      <c r="B42" s="43" t="s">
        <v>23</v>
      </c>
      <c r="C42" s="44"/>
      <c r="D42" s="44"/>
      <c r="E42" s="44"/>
      <c r="F42" s="44"/>
      <c r="G42" s="45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33D9-E333-0348-ABB4-16AB6E23F936}">
  <dimension ref="B1:D14"/>
  <sheetViews>
    <sheetView workbookViewId="0">
      <selection activeCell="C28" sqref="C28"/>
    </sheetView>
  </sheetViews>
  <sheetFormatPr defaultColWidth="10.875" defaultRowHeight="15.95"/>
  <cols>
    <col min="1" max="1" width="10.875" style="13"/>
    <col min="2" max="2" width="29" style="13" customWidth="1"/>
    <col min="3" max="3" width="34.375" style="13" customWidth="1"/>
    <col min="4" max="4" width="99.625" style="13" customWidth="1"/>
    <col min="5" max="16384" width="10.875" style="13"/>
  </cols>
  <sheetData>
    <row r="1" spans="2:4" ht="21">
      <c r="B1" s="47" t="s">
        <v>24</v>
      </c>
    </row>
    <row r="2" spans="2:4">
      <c r="B2" s="46" t="s">
        <v>25</v>
      </c>
      <c r="C2" s="46" t="s">
        <v>26</v>
      </c>
      <c r="D2" s="46" t="s">
        <v>27</v>
      </c>
    </row>
    <row r="3" spans="2:4">
      <c r="B3" s="13" t="s">
        <v>28</v>
      </c>
      <c r="C3" s="13" t="s">
        <v>29</v>
      </c>
      <c r="D3" s="13" t="s">
        <v>30</v>
      </c>
    </row>
    <row r="4" spans="2:4">
      <c r="B4" s="13" t="s">
        <v>31</v>
      </c>
      <c r="C4" s="13" t="s">
        <v>32</v>
      </c>
      <c r="D4" s="13" t="s">
        <v>33</v>
      </c>
    </row>
    <row r="5" spans="2:4">
      <c r="C5" s="13" t="s">
        <v>34</v>
      </c>
      <c r="D5" s="13" t="s">
        <v>35</v>
      </c>
    </row>
    <row r="6" spans="2:4">
      <c r="C6" s="13" t="s">
        <v>36</v>
      </c>
      <c r="D6" s="13" t="s">
        <v>37</v>
      </c>
    </row>
    <row r="7" spans="2:4">
      <c r="C7" s="13" t="s">
        <v>38</v>
      </c>
      <c r="D7" s="13" t="s">
        <v>39</v>
      </c>
    </row>
    <row r="8" spans="2:4">
      <c r="C8" s="13" t="s">
        <v>40</v>
      </c>
      <c r="D8" s="13" t="s">
        <v>41</v>
      </c>
    </row>
    <row r="9" spans="2:4">
      <c r="C9" s="13" t="s">
        <v>42</v>
      </c>
      <c r="D9" s="13" t="s">
        <v>43</v>
      </c>
    </row>
    <row r="11" spans="2:4" ht="21">
      <c r="B11" s="47" t="s">
        <v>44</v>
      </c>
    </row>
    <row r="12" spans="2:4">
      <c r="B12" s="46" t="s">
        <v>45</v>
      </c>
      <c r="C12" s="46" t="s">
        <v>27</v>
      </c>
    </row>
    <row r="13" spans="2:4">
      <c r="B13" s="13" t="s">
        <v>46</v>
      </c>
      <c r="C13" s="13" t="s">
        <v>47</v>
      </c>
    </row>
    <row r="14" spans="2:4">
      <c r="B14" s="13" t="s">
        <v>48</v>
      </c>
      <c r="C14" s="13" t="s">
        <v>49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ACB8-F5DC-F844-9D31-CC94C069AF34}">
  <sheetPr>
    <pageSetUpPr fitToPage="1"/>
  </sheetPr>
  <dimension ref="A1:Y51"/>
  <sheetViews>
    <sheetView workbookViewId="0">
      <selection activeCell="C19" sqref="C19"/>
    </sheetView>
  </sheetViews>
  <sheetFormatPr defaultColWidth="10.875" defaultRowHeight="15.95"/>
  <cols>
    <col min="1" max="8" width="10.875" style="2"/>
    <col min="9" max="9" width="14.375" style="2" customWidth="1"/>
    <col min="10" max="12" width="10.875" style="2"/>
    <col min="13" max="13" width="12.125" style="2" customWidth="1"/>
    <col min="14" max="15" width="10.875" style="2"/>
    <col min="16" max="16" width="13.5" style="2" customWidth="1"/>
    <col min="17" max="16384" width="10.875" style="2"/>
  </cols>
  <sheetData>
    <row r="1" spans="1:25" s="1" customFormat="1" ht="119.1">
      <c r="A1" s="1" t="s">
        <v>7</v>
      </c>
      <c r="B1" s="1" t="s">
        <v>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8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</row>
    <row r="2" spans="1:25" ht="20.100000000000001" customHeight="1">
      <c r="A2" s="53">
        <v>37</v>
      </c>
      <c r="B2" s="71" t="s">
        <v>11</v>
      </c>
      <c r="C2" s="53">
        <v>40398</v>
      </c>
      <c r="D2" s="53">
        <v>451</v>
      </c>
      <c r="E2" s="4">
        <f>C2/D2</f>
        <v>89.574279379157431</v>
      </c>
      <c r="F2" s="4">
        <f>(150/5*20)*E2</f>
        <v>53744.567627494456</v>
      </c>
      <c r="G2" s="4">
        <f t="shared" ref="G2:G25" si="0">F2*H2</f>
        <v>5374456.7627494456</v>
      </c>
      <c r="H2" s="4">
        <v>100</v>
      </c>
      <c r="I2" s="53" t="s">
        <v>73</v>
      </c>
      <c r="J2" s="4">
        <f>I2*G2</f>
        <v>522397.19733924611</v>
      </c>
      <c r="K2" s="53" t="s">
        <v>74</v>
      </c>
      <c r="L2" s="9">
        <f t="shared" ref="L2:L25" si="1">K2*J2</f>
        <v>240.3027107760532</v>
      </c>
      <c r="M2" s="75" t="s">
        <v>75</v>
      </c>
      <c r="N2" s="4">
        <f>M2*L2</f>
        <v>225.40394270793789</v>
      </c>
      <c r="O2" s="75" t="s">
        <v>76</v>
      </c>
      <c r="P2" s="75" t="s">
        <v>77</v>
      </c>
      <c r="Q2" s="4">
        <f t="shared" ref="Q2:Q25" si="2">P2*L2</f>
        <v>30.03783884700665</v>
      </c>
      <c r="R2" s="75" t="s">
        <v>78</v>
      </c>
      <c r="S2" s="4">
        <f>R2*L2</f>
        <v>45.176909625898006</v>
      </c>
      <c r="T2" s="75" t="s">
        <v>79</v>
      </c>
      <c r="U2" s="75" t="s">
        <v>77</v>
      </c>
      <c r="V2" s="4">
        <f t="shared" ref="V2:V25" si="3">U2*L2</f>
        <v>30.03783884700665</v>
      </c>
      <c r="W2" s="75" t="s">
        <v>80</v>
      </c>
      <c r="X2" s="75" t="s">
        <v>81</v>
      </c>
      <c r="Y2" s="4">
        <f t="shared" ref="Y2:Y25" si="4">X2*L2</f>
        <v>74.974445762128596</v>
      </c>
    </row>
    <row r="3" spans="1:25" ht="20.100000000000001" customHeight="1">
      <c r="A3" s="53">
        <v>38</v>
      </c>
      <c r="B3" s="71" t="s">
        <v>11</v>
      </c>
      <c r="C3" s="53">
        <v>55374</v>
      </c>
      <c r="D3" s="53">
        <v>1081</v>
      </c>
      <c r="E3" s="4">
        <f t="shared" ref="E3:E25" si="5">C3/D3</f>
        <v>51.224791859389455</v>
      </c>
      <c r="F3" s="4">
        <f t="shared" ref="F3:F25" si="6">(150/5*20)*E3</f>
        <v>30734.875115633673</v>
      </c>
      <c r="G3" s="4">
        <f t="shared" si="0"/>
        <v>3073487.5115633672</v>
      </c>
      <c r="H3" s="4">
        <v>100</v>
      </c>
      <c r="I3" s="53" t="s">
        <v>82</v>
      </c>
      <c r="J3" s="4">
        <f t="shared" ref="J3:J25" si="7">I3*G3</f>
        <v>531713.33950046252</v>
      </c>
      <c r="K3" s="53" t="s">
        <v>83</v>
      </c>
      <c r="L3" s="9">
        <f t="shared" si="1"/>
        <v>287.12520333024975</v>
      </c>
      <c r="M3" s="75" t="s">
        <v>84</v>
      </c>
      <c r="N3" s="4">
        <f t="shared" ref="N3:N25" si="8">M3*L3</f>
        <v>251.80880332062904</v>
      </c>
      <c r="O3" s="75" t="s">
        <v>85</v>
      </c>
      <c r="P3" s="75" t="s">
        <v>86</v>
      </c>
      <c r="Q3" s="4">
        <f t="shared" si="2"/>
        <v>53.1181626160962</v>
      </c>
      <c r="R3" s="75" t="s">
        <v>87</v>
      </c>
      <c r="S3" s="4">
        <f t="shared" ref="S3:S25" si="9">R3*L3</f>
        <v>31.583772366327473</v>
      </c>
      <c r="T3" s="75" t="s">
        <v>79</v>
      </c>
      <c r="U3" s="75" t="s">
        <v>86</v>
      </c>
      <c r="V3" s="4">
        <f t="shared" si="3"/>
        <v>53.1181626160962</v>
      </c>
      <c r="W3" s="75" t="s">
        <v>78</v>
      </c>
      <c r="X3" s="75" t="s">
        <v>88</v>
      </c>
      <c r="Y3" s="4">
        <f t="shared" si="4"/>
        <v>47.088533346160958</v>
      </c>
    </row>
    <row r="4" spans="1:25" ht="20.100000000000001" customHeight="1">
      <c r="A4" s="53">
        <v>39</v>
      </c>
      <c r="B4" s="71" t="s">
        <v>11</v>
      </c>
      <c r="C4" s="53">
        <v>52662</v>
      </c>
      <c r="D4" s="53">
        <v>1099</v>
      </c>
      <c r="E4" s="4">
        <f t="shared" si="5"/>
        <v>47.918107370336671</v>
      </c>
      <c r="F4" s="4">
        <f t="shared" si="6"/>
        <v>28750.864422202001</v>
      </c>
      <c r="G4" s="4">
        <f t="shared" si="0"/>
        <v>2875086.4422202003</v>
      </c>
      <c r="H4" s="4">
        <v>100</v>
      </c>
      <c r="I4" s="53" t="s">
        <v>89</v>
      </c>
      <c r="J4" s="4">
        <f t="shared" si="7"/>
        <v>623893.75796178344</v>
      </c>
      <c r="K4" s="53" t="s">
        <v>90</v>
      </c>
      <c r="L4" s="9">
        <f t="shared" si="1"/>
        <v>162.21237707006367</v>
      </c>
      <c r="M4" s="75" t="s">
        <v>91</v>
      </c>
      <c r="N4" s="4">
        <f t="shared" si="8"/>
        <v>127.49892837707004</v>
      </c>
      <c r="O4" s="75" t="s">
        <v>92</v>
      </c>
      <c r="P4" s="75" t="s">
        <v>93</v>
      </c>
      <c r="Q4" s="4">
        <f t="shared" si="2"/>
        <v>11.581963722802547</v>
      </c>
      <c r="R4" s="75" t="s">
        <v>94</v>
      </c>
      <c r="S4" s="4">
        <f t="shared" si="9"/>
        <v>7.7213091485350311</v>
      </c>
      <c r="T4" s="75" t="s">
        <v>79</v>
      </c>
      <c r="U4" s="75" t="s">
        <v>93</v>
      </c>
      <c r="V4" s="4">
        <f t="shared" si="3"/>
        <v>11.581963722802547</v>
      </c>
      <c r="W4" s="75" t="s">
        <v>92</v>
      </c>
      <c r="X4" s="75" t="s">
        <v>93</v>
      </c>
      <c r="Y4" s="4">
        <f t="shared" si="4"/>
        <v>11.581963722802547</v>
      </c>
    </row>
    <row r="5" spans="1:25" ht="20.100000000000001" customHeight="1">
      <c r="A5" s="53">
        <v>40</v>
      </c>
      <c r="B5" s="71" t="s">
        <v>95</v>
      </c>
      <c r="C5" s="53">
        <v>24915</v>
      </c>
      <c r="D5" s="53">
        <v>1020</v>
      </c>
      <c r="E5" s="4">
        <f t="shared" si="5"/>
        <v>24.426470588235293</v>
      </c>
      <c r="F5" s="4">
        <f t="shared" si="6"/>
        <v>14655.882352941177</v>
      </c>
      <c r="G5" s="4">
        <f t="shared" si="0"/>
        <v>1465588.2352941176</v>
      </c>
      <c r="H5" s="4">
        <v>100</v>
      </c>
      <c r="I5" s="53" t="s">
        <v>96</v>
      </c>
      <c r="J5" s="4">
        <f t="shared" si="7"/>
        <v>285789.70588235295</v>
      </c>
      <c r="K5" s="53" t="s">
        <v>97</v>
      </c>
      <c r="L5" s="9">
        <f t="shared" si="1"/>
        <v>82.879014705882355</v>
      </c>
      <c r="M5" s="75" t="s">
        <v>98</v>
      </c>
      <c r="N5" s="4">
        <f t="shared" si="8"/>
        <v>79.812491161764711</v>
      </c>
      <c r="O5" s="75" t="s">
        <v>99</v>
      </c>
      <c r="P5" s="75" t="s">
        <v>100</v>
      </c>
      <c r="Q5" s="4">
        <f t="shared" si="2"/>
        <v>3.066523544117647</v>
      </c>
      <c r="R5" s="75" t="s">
        <v>100</v>
      </c>
      <c r="S5" s="4">
        <f t="shared" si="9"/>
        <v>3.066523544117647</v>
      </c>
      <c r="T5" s="75" t="s">
        <v>79</v>
      </c>
      <c r="U5" s="75" t="s">
        <v>100</v>
      </c>
      <c r="V5" s="4">
        <f t="shared" si="3"/>
        <v>3.066523544117647</v>
      </c>
      <c r="W5" s="75" t="s">
        <v>101</v>
      </c>
      <c r="X5" s="75" t="s">
        <v>102</v>
      </c>
      <c r="Y5" s="4">
        <f t="shared" si="4"/>
        <v>30.66523544117647</v>
      </c>
    </row>
    <row r="6" spans="1:25" ht="20.100000000000001" customHeight="1">
      <c r="A6" s="53">
        <v>41</v>
      </c>
      <c r="B6" s="71" t="s">
        <v>11</v>
      </c>
      <c r="C6" s="53">
        <v>32612</v>
      </c>
      <c r="D6" s="53">
        <v>869</v>
      </c>
      <c r="E6" s="4">
        <f t="shared" si="5"/>
        <v>37.528193325661682</v>
      </c>
      <c r="F6" s="4">
        <f t="shared" si="6"/>
        <v>22516.915995397008</v>
      </c>
      <c r="G6" s="4">
        <f t="shared" si="0"/>
        <v>2251691.5995397009</v>
      </c>
      <c r="H6" s="4">
        <v>100</v>
      </c>
      <c r="I6" s="53" t="s">
        <v>103</v>
      </c>
      <c r="J6" s="4">
        <f t="shared" si="7"/>
        <v>376032.49712313007</v>
      </c>
      <c r="K6" s="53" t="s">
        <v>97</v>
      </c>
      <c r="L6" s="9">
        <f t="shared" si="1"/>
        <v>109.04942416570772</v>
      </c>
      <c r="M6" s="75" t="s">
        <v>79</v>
      </c>
      <c r="N6" s="4">
        <f t="shared" si="8"/>
        <v>109.04942416570772</v>
      </c>
      <c r="O6" s="75" t="s">
        <v>104</v>
      </c>
      <c r="P6" s="75" t="s">
        <v>104</v>
      </c>
      <c r="Q6" s="4">
        <f t="shared" si="2"/>
        <v>4.3619769666283092</v>
      </c>
      <c r="R6" s="75" t="s">
        <v>104</v>
      </c>
      <c r="S6" s="4">
        <f t="shared" si="9"/>
        <v>4.3619769666283092</v>
      </c>
      <c r="T6" s="75" t="s">
        <v>79</v>
      </c>
      <c r="U6" s="75" t="s">
        <v>104</v>
      </c>
      <c r="V6" s="4">
        <f t="shared" si="3"/>
        <v>4.3619769666283092</v>
      </c>
      <c r="W6" s="75" t="s">
        <v>105</v>
      </c>
      <c r="X6" s="75" t="s">
        <v>105</v>
      </c>
      <c r="Y6" s="4">
        <f t="shared" si="4"/>
        <v>21.809884833141545</v>
      </c>
    </row>
    <row r="7" spans="1:25" ht="20.100000000000001" customHeight="1">
      <c r="A7" s="53">
        <v>42</v>
      </c>
      <c r="B7" s="71" t="s">
        <v>11</v>
      </c>
      <c r="C7" s="53">
        <v>50346</v>
      </c>
      <c r="D7" s="53">
        <v>1025</v>
      </c>
      <c r="E7" s="4">
        <f t="shared" si="5"/>
        <v>49.118048780487804</v>
      </c>
      <c r="F7" s="4">
        <f t="shared" si="6"/>
        <v>29470.829268292684</v>
      </c>
      <c r="G7" s="4">
        <f t="shared" si="0"/>
        <v>2947082.9268292682</v>
      </c>
      <c r="H7" s="4">
        <v>100</v>
      </c>
      <c r="I7" s="53" t="s">
        <v>106</v>
      </c>
      <c r="J7" s="4">
        <f t="shared" si="7"/>
        <v>498057.01463414636</v>
      </c>
      <c r="K7" s="53" t="s">
        <v>107</v>
      </c>
      <c r="L7" s="9">
        <f t="shared" si="1"/>
        <v>154.39767453658536</v>
      </c>
      <c r="M7" s="75" t="s">
        <v>108</v>
      </c>
      <c r="N7" s="4">
        <f t="shared" si="8"/>
        <v>143.89863266809755</v>
      </c>
      <c r="O7" s="75" t="s">
        <v>109</v>
      </c>
      <c r="P7" s="75" t="s">
        <v>110</v>
      </c>
      <c r="Q7" s="4">
        <f t="shared" si="2"/>
        <v>24.549230251317073</v>
      </c>
      <c r="R7" s="75" t="s">
        <v>111</v>
      </c>
      <c r="S7" s="4">
        <f t="shared" si="9"/>
        <v>3.504827211980488</v>
      </c>
      <c r="T7" s="75" t="s">
        <v>79</v>
      </c>
      <c r="U7" s="75" t="s">
        <v>110</v>
      </c>
      <c r="V7" s="4">
        <f t="shared" si="3"/>
        <v>24.549230251317073</v>
      </c>
      <c r="W7" s="75" t="s">
        <v>112</v>
      </c>
      <c r="X7" s="75" t="s">
        <v>113</v>
      </c>
      <c r="Y7" s="4">
        <f t="shared" si="4"/>
        <v>38.599418634146339</v>
      </c>
    </row>
    <row r="8" spans="1:25" s="5" customFormat="1" ht="20.100000000000001" customHeight="1">
      <c r="A8" s="72">
        <v>43</v>
      </c>
      <c r="B8" s="5" t="s">
        <v>114</v>
      </c>
      <c r="C8" s="72">
        <v>34963</v>
      </c>
      <c r="D8" s="72">
        <v>1061</v>
      </c>
      <c r="E8" s="5">
        <f t="shared" si="5"/>
        <v>32.952874646559849</v>
      </c>
      <c r="F8" s="5">
        <f t="shared" si="6"/>
        <v>19771.724787935909</v>
      </c>
      <c r="G8" s="5">
        <f t="shared" si="0"/>
        <v>1977172.478793591</v>
      </c>
      <c r="H8" s="5">
        <v>100</v>
      </c>
      <c r="I8" s="72" t="s">
        <v>115</v>
      </c>
      <c r="J8" s="5">
        <f t="shared" si="7"/>
        <v>508133.32704995293</v>
      </c>
      <c r="K8" s="72" t="s">
        <v>116</v>
      </c>
      <c r="L8" s="10">
        <f t="shared" si="1"/>
        <v>91.463998868991538</v>
      </c>
      <c r="M8" s="76" t="s">
        <v>117</v>
      </c>
      <c r="N8" s="5">
        <f t="shared" si="8"/>
        <v>87.531046917624906</v>
      </c>
      <c r="O8" s="76" t="s">
        <v>118</v>
      </c>
      <c r="P8" s="76" t="s">
        <v>119</v>
      </c>
      <c r="Q8" s="5">
        <f t="shared" si="2"/>
        <v>31.829471606409054</v>
      </c>
      <c r="R8" s="76" t="s">
        <v>120</v>
      </c>
      <c r="S8" s="5">
        <f t="shared" si="9"/>
        <v>5.9634527262582475</v>
      </c>
      <c r="T8" s="76" t="s">
        <v>79</v>
      </c>
      <c r="U8" s="76" t="s">
        <v>119</v>
      </c>
      <c r="V8" s="5">
        <f t="shared" si="3"/>
        <v>31.829471606409054</v>
      </c>
      <c r="W8" s="76" t="s">
        <v>110</v>
      </c>
      <c r="X8" s="76" t="s">
        <v>121</v>
      </c>
      <c r="Y8" s="5">
        <f t="shared" si="4"/>
        <v>13.902527828086713</v>
      </c>
    </row>
    <row r="9" spans="1:25" s="5" customFormat="1" ht="20.100000000000001" customHeight="1">
      <c r="A9" s="72">
        <v>44</v>
      </c>
      <c r="B9" s="5" t="s">
        <v>114</v>
      </c>
      <c r="C9" s="72">
        <v>42635</v>
      </c>
      <c r="D9" s="72">
        <v>990</v>
      </c>
      <c r="E9" s="5">
        <f t="shared" si="5"/>
        <v>43.065656565656568</v>
      </c>
      <c r="F9" s="5">
        <f t="shared" si="6"/>
        <v>25839.39393939394</v>
      </c>
      <c r="G9" s="5">
        <f t="shared" si="0"/>
        <v>2583939.393939394</v>
      </c>
      <c r="H9" s="5">
        <v>100</v>
      </c>
      <c r="I9" s="72" t="s">
        <v>115</v>
      </c>
      <c r="J9" s="5">
        <f t="shared" si="7"/>
        <v>664072.42424242431</v>
      </c>
      <c r="K9" s="72" t="s">
        <v>122</v>
      </c>
      <c r="L9" s="10">
        <f t="shared" si="1"/>
        <v>86.32941515151515</v>
      </c>
      <c r="M9" s="76" t="s">
        <v>123</v>
      </c>
      <c r="N9" s="5">
        <f t="shared" si="8"/>
        <v>74.415955860606061</v>
      </c>
      <c r="O9" s="76" t="s">
        <v>124</v>
      </c>
      <c r="P9" s="76" t="s">
        <v>125</v>
      </c>
      <c r="Q9" s="5">
        <f t="shared" si="2"/>
        <v>17.870188936363636</v>
      </c>
      <c r="R9" s="76" t="s">
        <v>126</v>
      </c>
      <c r="S9" s="5">
        <f t="shared" si="9"/>
        <v>8.8919297606060592</v>
      </c>
      <c r="T9" s="76" t="s">
        <v>127</v>
      </c>
      <c r="U9" s="76" t="s">
        <v>128</v>
      </c>
      <c r="V9" s="5">
        <f t="shared" si="3"/>
        <v>11.913459290909092</v>
      </c>
      <c r="W9" s="76" t="s">
        <v>129</v>
      </c>
      <c r="X9" s="76" t="s">
        <v>128</v>
      </c>
      <c r="Y9" s="5">
        <f t="shared" si="4"/>
        <v>11.913459290909092</v>
      </c>
    </row>
    <row r="10" spans="1:25" s="5" customFormat="1" ht="20.100000000000001" customHeight="1">
      <c r="A10" s="72">
        <v>45</v>
      </c>
      <c r="B10" s="5" t="s">
        <v>114</v>
      </c>
      <c r="C10" s="72">
        <v>44533</v>
      </c>
      <c r="D10" s="72">
        <v>728</v>
      </c>
      <c r="E10" s="5">
        <f t="shared" si="5"/>
        <v>61.171703296703299</v>
      </c>
      <c r="F10" s="5">
        <f t="shared" si="6"/>
        <v>36703.021978021978</v>
      </c>
      <c r="G10" s="5">
        <f t="shared" si="0"/>
        <v>3670302.1978021977</v>
      </c>
      <c r="H10" s="5">
        <v>100</v>
      </c>
      <c r="I10" s="72" t="s">
        <v>130</v>
      </c>
      <c r="J10" s="5">
        <f t="shared" si="7"/>
        <v>866191.31868131855</v>
      </c>
      <c r="K10" s="72" t="s">
        <v>131</v>
      </c>
      <c r="L10" s="10">
        <f t="shared" si="1"/>
        <v>173.23826373626372</v>
      </c>
      <c r="M10" s="76" t="s">
        <v>132</v>
      </c>
      <c r="N10" s="5">
        <f t="shared" si="8"/>
        <v>170.63968978021975</v>
      </c>
      <c r="O10" s="76" t="s">
        <v>133</v>
      </c>
      <c r="P10" s="76" t="s">
        <v>134</v>
      </c>
      <c r="Q10" s="5">
        <f t="shared" si="2"/>
        <v>53.530623494505491</v>
      </c>
      <c r="R10" s="76" t="s">
        <v>135</v>
      </c>
      <c r="S10" s="5">
        <f t="shared" si="9"/>
        <v>2.5466024769230766</v>
      </c>
      <c r="T10" s="76" t="s">
        <v>136</v>
      </c>
      <c r="U10" s="76" t="s">
        <v>137</v>
      </c>
      <c r="V10" s="5">
        <f t="shared" si="3"/>
        <v>50.932049538461527</v>
      </c>
      <c r="W10" s="76" t="s">
        <v>138</v>
      </c>
      <c r="X10" s="76" t="s">
        <v>139</v>
      </c>
      <c r="Y10" s="5">
        <f t="shared" si="4"/>
        <v>22.86745081318681</v>
      </c>
    </row>
    <row r="11" spans="1:25" s="5" customFormat="1" ht="20.100000000000001" customHeight="1">
      <c r="A11" s="72">
        <v>46</v>
      </c>
      <c r="B11" s="5" t="s">
        <v>114</v>
      </c>
      <c r="C11" s="72">
        <v>48534</v>
      </c>
      <c r="D11" s="72">
        <v>1036</v>
      </c>
      <c r="E11" s="5">
        <f t="shared" si="5"/>
        <v>46.84749034749035</v>
      </c>
      <c r="F11" s="5">
        <f t="shared" si="6"/>
        <v>28108.494208494209</v>
      </c>
      <c r="G11" s="5">
        <f t="shared" si="0"/>
        <v>2810849.4208494211</v>
      </c>
      <c r="H11" s="5">
        <v>100</v>
      </c>
      <c r="I11" s="72" t="s">
        <v>140</v>
      </c>
      <c r="J11" s="5">
        <f t="shared" si="7"/>
        <v>694279.80694980698</v>
      </c>
      <c r="K11" s="72" t="s">
        <v>141</v>
      </c>
      <c r="L11" s="10">
        <f t="shared" si="1"/>
        <v>27.146340451737455</v>
      </c>
      <c r="M11" s="76" t="s">
        <v>79</v>
      </c>
      <c r="N11" s="5">
        <f t="shared" si="8"/>
        <v>27.146340451737455</v>
      </c>
      <c r="O11" s="76" t="s">
        <v>142</v>
      </c>
      <c r="P11" s="76" t="s">
        <v>142</v>
      </c>
      <c r="Q11" s="5">
        <f t="shared" si="2"/>
        <v>0</v>
      </c>
      <c r="R11" s="76" t="s">
        <v>142</v>
      </c>
      <c r="S11" s="5">
        <f t="shared" si="9"/>
        <v>0</v>
      </c>
      <c r="T11" s="76" t="s">
        <v>142</v>
      </c>
      <c r="U11" s="76" t="s">
        <v>142</v>
      </c>
      <c r="V11" s="5">
        <f t="shared" si="3"/>
        <v>0</v>
      </c>
      <c r="W11" s="76" t="s">
        <v>79</v>
      </c>
      <c r="X11" s="76" t="s">
        <v>79</v>
      </c>
      <c r="Y11" s="5">
        <f t="shared" si="4"/>
        <v>27.146340451737455</v>
      </c>
    </row>
    <row r="12" spans="1:25" s="5" customFormat="1" ht="20.100000000000001" customHeight="1">
      <c r="A12" s="72">
        <v>47</v>
      </c>
      <c r="B12" s="5" t="s">
        <v>114</v>
      </c>
      <c r="C12" s="72">
        <v>44264</v>
      </c>
      <c r="D12" s="72">
        <v>1036</v>
      </c>
      <c r="E12" s="5">
        <f t="shared" si="5"/>
        <v>42.725868725868729</v>
      </c>
      <c r="F12" s="5">
        <f t="shared" si="6"/>
        <v>25635.521235521239</v>
      </c>
      <c r="G12" s="5">
        <f t="shared" si="0"/>
        <v>2563552.123552124</v>
      </c>
      <c r="H12" s="5">
        <v>100</v>
      </c>
      <c r="I12" s="72" t="s">
        <v>143</v>
      </c>
      <c r="J12" s="5">
        <f t="shared" si="7"/>
        <v>669087.10424710438</v>
      </c>
      <c r="K12" s="72" t="s">
        <v>144</v>
      </c>
      <c r="L12" s="10">
        <f t="shared" si="1"/>
        <v>113.74480772200775</v>
      </c>
      <c r="M12" s="76" t="s">
        <v>145</v>
      </c>
      <c r="N12" s="5">
        <f t="shared" si="8"/>
        <v>95.204404063320482</v>
      </c>
      <c r="O12" s="76" t="s">
        <v>146</v>
      </c>
      <c r="P12" s="76" t="s">
        <v>147</v>
      </c>
      <c r="Q12" s="5">
        <f t="shared" si="2"/>
        <v>13.194397695752899</v>
      </c>
      <c r="R12" s="76" t="s">
        <v>148</v>
      </c>
      <c r="S12" s="5">
        <f t="shared" si="9"/>
        <v>2.6502540199227806</v>
      </c>
      <c r="T12" s="76" t="s">
        <v>79</v>
      </c>
      <c r="U12" s="76" t="s">
        <v>147</v>
      </c>
      <c r="V12" s="5">
        <f t="shared" si="3"/>
        <v>13.194397695752899</v>
      </c>
      <c r="W12" s="76" t="s">
        <v>113</v>
      </c>
      <c r="X12" s="76" t="s">
        <v>149</v>
      </c>
      <c r="Y12" s="5">
        <f t="shared" si="4"/>
        <v>23.77266481389962</v>
      </c>
    </row>
    <row r="13" spans="1:25" s="5" customFormat="1" ht="20.100000000000001" customHeight="1">
      <c r="A13" s="72">
        <v>48</v>
      </c>
      <c r="B13" s="5" t="s">
        <v>114</v>
      </c>
      <c r="C13" s="72">
        <v>30167</v>
      </c>
      <c r="D13" s="72">
        <v>935</v>
      </c>
      <c r="E13" s="5">
        <f t="shared" si="5"/>
        <v>32.264171122994654</v>
      </c>
      <c r="F13" s="5">
        <f t="shared" si="6"/>
        <v>19358.502673796793</v>
      </c>
      <c r="G13" s="5">
        <f t="shared" si="0"/>
        <v>1935850.2673796793</v>
      </c>
      <c r="H13" s="5">
        <v>100</v>
      </c>
      <c r="I13" s="72" t="s">
        <v>150</v>
      </c>
      <c r="J13" s="5">
        <f t="shared" si="7"/>
        <v>511064.47058823536</v>
      </c>
      <c r="K13" s="72" t="s">
        <v>151</v>
      </c>
      <c r="L13" s="10">
        <f t="shared" si="1"/>
        <v>112.43418352941178</v>
      </c>
      <c r="M13" s="76" t="s">
        <v>152</v>
      </c>
      <c r="N13" s="5">
        <f t="shared" si="8"/>
        <v>99.166949872941188</v>
      </c>
      <c r="O13" s="76" t="s">
        <v>153</v>
      </c>
      <c r="P13" s="76" t="s">
        <v>154</v>
      </c>
      <c r="Q13" s="5">
        <f t="shared" si="2"/>
        <v>6.6111299915294124</v>
      </c>
      <c r="R13" s="76" t="s">
        <v>154</v>
      </c>
      <c r="S13" s="5">
        <f t="shared" si="9"/>
        <v>6.6111299915294124</v>
      </c>
      <c r="T13" s="76" t="s">
        <v>155</v>
      </c>
      <c r="U13" s="76" t="s">
        <v>156</v>
      </c>
      <c r="V13" s="5">
        <f t="shared" si="3"/>
        <v>3.3055649957647062</v>
      </c>
      <c r="W13" s="76" t="s">
        <v>157</v>
      </c>
      <c r="X13" s="76" t="s">
        <v>158</v>
      </c>
      <c r="Y13" s="5">
        <f t="shared" si="4"/>
        <v>29.795058635294122</v>
      </c>
    </row>
    <row r="14" spans="1:25" s="7" customFormat="1" ht="20.100000000000001" customHeight="1">
      <c r="A14" s="73">
        <v>49</v>
      </c>
      <c r="B14" s="7" t="s">
        <v>159</v>
      </c>
      <c r="C14" s="73">
        <v>28969</v>
      </c>
      <c r="D14" s="73">
        <v>849</v>
      </c>
      <c r="E14" s="7">
        <f t="shared" si="5"/>
        <v>34.121319199057716</v>
      </c>
      <c r="F14" s="7">
        <f t="shared" si="6"/>
        <v>20472.791519434628</v>
      </c>
      <c r="G14" s="7">
        <f t="shared" si="0"/>
        <v>2047279.1519434629</v>
      </c>
      <c r="H14" s="7">
        <v>100</v>
      </c>
      <c r="I14" s="73" t="s">
        <v>130</v>
      </c>
      <c r="J14" s="7">
        <f t="shared" si="7"/>
        <v>483157.87985865719</v>
      </c>
      <c r="K14" s="73" t="s">
        <v>160</v>
      </c>
      <c r="L14" s="11">
        <f t="shared" si="1"/>
        <v>67.642103180212004</v>
      </c>
      <c r="M14" s="77" t="s">
        <v>79</v>
      </c>
      <c r="N14" s="7">
        <f t="shared" si="8"/>
        <v>67.642103180212004</v>
      </c>
      <c r="O14" s="77" t="s">
        <v>161</v>
      </c>
      <c r="P14" s="77" t="s">
        <v>161</v>
      </c>
      <c r="Q14" s="7">
        <f t="shared" si="2"/>
        <v>18.804504684098937</v>
      </c>
      <c r="R14" s="77" t="s">
        <v>162</v>
      </c>
      <c r="S14" s="7">
        <f t="shared" si="9"/>
        <v>7.5082734530035324</v>
      </c>
      <c r="T14" s="77" t="s">
        <v>79</v>
      </c>
      <c r="U14" s="77" t="s">
        <v>161</v>
      </c>
      <c r="V14" s="7">
        <f t="shared" si="3"/>
        <v>18.804504684098937</v>
      </c>
      <c r="W14" s="77" t="s">
        <v>103</v>
      </c>
      <c r="X14" s="77" t="s">
        <v>103</v>
      </c>
      <c r="Y14" s="7">
        <f t="shared" si="4"/>
        <v>11.296231231095405</v>
      </c>
    </row>
    <row r="15" spans="1:25" s="7" customFormat="1" ht="20.100000000000001" customHeight="1">
      <c r="A15" s="73">
        <v>50</v>
      </c>
      <c r="B15" s="7" t="s">
        <v>159</v>
      </c>
      <c r="C15" s="73">
        <v>60209</v>
      </c>
      <c r="D15" s="73">
        <v>1023</v>
      </c>
      <c r="E15" s="7">
        <f t="shared" si="5"/>
        <v>58.855327468230691</v>
      </c>
      <c r="F15" s="7">
        <f t="shared" si="6"/>
        <v>35313.196480938415</v>
      </c>
      <c r="G15" s="7">
        <f t="shared" si="0"/>
        <v>3531319.6480938415</v>
      </c>
      <c r="H15" s="7">
        <v>100</v>
      </c>
      <c r="I15" s="73" t="s">
        <v>150</v>
      </c>
      <c r="J15" s="7">
        <f t="shared" si="7"/>
        <v>932268.38709677418</v>
      </c>
      <c r="K15" s="73" t="s">
        <v>163</v>
      </c>
      <c r="L15" s="11">
        <f t="shared" si="1"/>
        <v>139.84025806451612</v>
      </c>
      <c r="M15" s="77" t="s">
        <v>152</v>
      </c>
      <c r="N15" s="7">
        <f t="shared" si="8"/>
        <v>123.33910761290322</v>
      </c>
      <c r="O15" s="77" t="s">
        <v>164</v>
      </c>
      <c r="P15" s="77" t="s">
        <v>165</v>
      </c>
      <c r="Q15" s="7">
        <f t="shared" si="2"/>
        <v>73.975496516129027</v>
      </c>
      <c r="R15" s="77" t="s">
        <v>166</v>
      </c>
      <c r="S15" s="7">
        <f t="shared" si="9"/>
        <v>21.954920516129032</v>
      </c>
      <c r="T15" s="77" t="s">
        <v>98</v>
      </c>
      <c r="U15" s="77" t="s">
        <v>167</v>
      </c>
      <c r="V15" s="7">
        <f t="shared" si="3"/>
        <v>71.318531612903229</v>
      </c>
      <c r="W15" s="77" t="s">
        <v>168</v>
      </c>
      <c r="X15" s="77" t="s">
        <v>169</v>
      </c>
      <c r="Y15" s="7">
        <f t="shared" si="4"/>
        <v>2.7408690580645159</v>
      </c>
    </row>
    <row r="16" spans="1:25" s="7" customFormat="1" ht="20.100000000000001" customHeight="1">
      <c r="A16" s="73">
        <v>51</v>
      </c>
      <c r="B16" s="7" t="s">
        <v>159</v>
      </c>
      <c r="C16" s="73">
        <v>31438</v>
      </c>
      <c r="D16" s="73">
        <v>1033</v>
      </c>
      <c r="E16" s="7">
        <f t="shared" si="5"/>
        <v>30.433688286544047</v>
      </c>
      <c r="F16" s="7">
        <f t="shared" si="6"/>
        <v>18260.212971926427</v>
      </c>
      <c r="G16" s="7">
        <f t="shared" si="0"/>
        <v>1826021.2971926427</v>
      </c>
      <c r="H16" s="7">
        <v>100</v>
      </c>
      <c r="I16" s="73" t="s">
        <v>170</v>
      </c>
      <c r="J16" s="7">
        <f t="shared" si="7"/>
        <v>460157.36689254595</v>
      </c>
      <c r="K16" s="73" t="s">
        <v>122</v>
      </c>
      <c r="L16" s="11">
        <f t="shared" si="1"/>
        <v>59.820457696030971</v>
      </c>
      <c r="M16" s="77" t="s">
        <v>171</v>
      </c>
      <c r="N16" s="7">
        <f t="shared" si="8"/>
        <v>57.906203049757977</v>
      </c>
      <c r="O16" s="77" t="s">
        <v>172</v>
      </c>
      <c r="P16" s="77" t="s">
        <v>173</v>
      </c>
      <c r="Q16" s="7">
        <f t="shared" si="2"/>
        <v>15.433678085575991</v>
      </c>
      <c r="R16" s="77" t="s">
        <v>174</v>
      </c>
      <c r="S16" s="7">
        <f t="shared" si="9"/>
        <v>11.605168793030009</v>
      </c>
      <c r="T16" s="77" t="s">
        <v>79</v>
      </c>
      <c r="U16" s="77" t="s">
        <v>173</v>
      </c>
      <c r="V16" s="7">
        <f t="shared" si="3"/>
        <v>15.433678085575991</v>
      </c>
      <c r="W16" s="77" t="s">
        <v>175</v>
      </c>
      <c r="X16" s="77" t="s">
        <v>176</v>
      </c>
      <c r="Y16" s="7">
        <f t="shared" si="4"/>
        <v>13.519423439302999</v>
      </c>
    </row>
    <row r="17" spans="1:25" s="7" customFormat="1" ht="20.100000000000001" customHeight="1">
      <c r="A17" s="73">
        <v>52</v>
      </c>
      <c r="B17" s="7" t="s">
        <v>159</v>
      </c>
      <c r="C17" s="73">
        <v>26326</v>
      </c>
      <c r="D17" s="73">
        <v>983</v>
      </c>
      <c r="E17" s="7">
        <f t="shared" si="5"/>
        <v>26.781281790437436</v>
      </c>
      <c r="F17" s="7">
        <f t="shared" si="6"/>
        <v>16068.769074262462</v>
      </c>
      <c r="G17" s="7">
        <f t="shared" si="0"/>
        <v>1606876.9074262462</v>
      </c>
      <c r="H17" s="7">
        <v>100</v>
      </c>
      <c r="I17" s="73" t="s">
        <v>177</v>
      </c>
      <c r="J17" s="7">
        <f t="shared" si="7"/>
        <v>438677.39572736522</v>
      </c>
      <c r="K17" s="73" t="s">
        <v>160</v>
      </c>
      <c r="L17" s="11">
        <f t="shared" si="1"/>
        <v>61.414835401831127</v>
      </c>
      <c r="M17" s="77" t="s">
        <v>152</v>
      </c>
      <c r="N17" s="7">
        <f t="shared" si="8"/>
        <v>54.167884824415054</v>
      </c>
      <c r="O17" s="77" t="s">
        <v>76</v>
      </c>
      <c r="P17" s="77" t="s">
        <v>178</v>
      </c>
      <c r="Q17" s="7">
        <f t="shared" si="2"/>
        <v>7.2469505774160723</v>
      </c>
      <c r="R17" s="77" t="s">
        <v>179</v>
      </c>
      <c r="S17" s="7">
        <f t="shared" si="9"/>
        <v>10.809011030722278</v>
      </c>
      <c r="T17" s="77" t="s">
        <v>79</v>
      </c>
      <c r="U17" s="77" t="s">
        <v>178</v>
      </c>
      <c r="V17" s="7">
        <f t="shared" si="3"/>
        <v>7.2469505774160723</v>
      </c>
      <c r="W17" s="77" t="s">
        <v>172</v>
      </c>
      <c r="X17" s="77" t="s">
        <v>180</v>
      </c>
      <c r="Y17" s="7">
        <f t="shared" si="4"/>
        <v>14.432486319430314</v>
      </c>
    </row>
    <row r="18" spans="1:25" s="7" customFormat="1" ht="20.100000000000001" customHeight="1">
      <c r="A18" s="73">
        <v>53</v>
      </c>
      <c r="B18" s="7" t="s">
        <v>159</v>
      </c>
      <c r="C18" s="73">
        <v>37956</v>
      </c>
      <c r="D18" s="73">
        <v>789</v>
      </c>
      <c r="E18" s="7">
        <f t="shared" si="5"/>
        <v>48.106463878326998</v>
      </c>
      <c r="F18" s="7">
        <f t="shared" si="6"/>
        <v>28863.8783269962</v>
      </c>
      <c r="G18" s="7">
        <f t="shared" si="0"/>
        <v>2886387.8326996202</v>
      </c>
      <c r="H18" s="7">
        <v>100</v>
      </c>
      <c r="I18" s="73" t="s">
        <v>181</v>
      </c>
      <c r="J18" s="7">
        <f t="shared" si="7"/>
        <v>796643.04182509519</v>
      </c>
      <c r="K18" s="73" t="s">
        <v>182</v>
      </c>
      <c r="L18" s="11">
        <f t="shared" si="1"/>
        <v>56.242998752851719</v>
      </c>
      <c r="M18" s="77" t="s">
        <v>79</v>
      </c>
      <c r="N18" s="7">
        <f t="shared" si="8"/>
        <v>56.242998752851719</v>
      </c>
      <c r="O18" s="77" t="s">
        <v>183</v>
      </c>
      <c r="P18" s="77" t="s">
        <v>183</v>
      </c>
      <c r="Q18" s="7">
        <f t="shared" si="2"/>
        <v>12.036001733110268</v>
      </c>
      <c r="R18" s="77" t="s">
        <v>93</v>
      </c>
      <c r="S18" s="7">
        <f t="shared" si="9"/>
        <v>4.0157501109536131</v>
      </c>
      <c r="T18" s="77" t="s">
        <v>79</v>
      </c>
      <c r="U18" s="77" t="s">
        <v>183</v>
      </c>
      <c r="V18" s="7">
        <f t="shared" si="3"/>
        <v>12.036001733110268</v>
      </c>
      <c r="W18" s="77" t="s">
        <v>183</v>
      </c>
      <c r="X18" s="77" t="s">
        <v>183</v>
      </c>
      <c r="Y18" s="7">
        <f t="shared" si="4"/>
        <v>12.036001733110268</v>
      </c>
    </row>
    <row r="19" spans="1:25" s="7" customFormat="1" ht="20.100000000000001" customHeight="1">
      <c r="A19" s="73">
        <v>54</v>
      </c>
      <c r="B19" s="7" t="s">
        <v>159</v>
      </c>
      <c r="C19" s="73">
        <v>45303</v>
      </c>
      <c r="D19" s="73">
        <v>1072</v>
      </c>
      <c r="E19" s="7">
        <f t="shared" si="5"/>
        <v>42.260261194029852</v>
      </c>
      <c r="F19" s="7">
        <f t="shared" si="6"/>
        <v>25356.156716417911</v>
      </c>
      <c r="G19" s="7">
        <f t="shared" si="0"/>
        <v>2535615.6716417912</v>
      </c>
      <c r="H19" s="7">
        <v>100</v>
      </c>
      <c r="I19" s="73" t="s">
        <v>184</v>
      </c>
      <c r="J19" s="7">
        <f t="shared" si="7"/>
        <v>748006.6231343284</v>
      </c>
      <c r="K19" s="73" t="s">
        <v>185</v>
      </c>
      <c r="L19" s="11">
        <f t="shared" si="1"/>
        <v>48.246427192164177</v>
      </c>
      <c r="M19" s="77" t="s">
        <v>186</v>
      </c>
      <c r="N19" s="7">
        <f t="shared" si="8"/>
        <v>44.820930861520523</v>
      </c>
      <c r="O19" s="77" t="s">
        <v>187</v>
      </c>
      <c r="P19" s="77" t="s">
        <v>183</v>
      </c>
      <c r="Q19" s="7">
        <f t="shared" si="2"/>
        <v>10.324735419123133</v>
      </c>
      <c r="R19" s="77" t="s">
        <v>93</v>
      </c>
      <c r="S19" s="7">
        <f t="shared" si="9"/>
        <v>3.4447949015205226</v>
      </c>
      <c r="T19" s="77" t="s">
        <v>79</v>
      </c>
      <c r="U19" s="77" t="s">
        <v>183</v>
      </c>
      <c r="V19" s="7">
        <f t="shared" si="3"/>
        <v>10.324735419123133</v>
      </c>
      <c r="W19" s="77" t="s">
        <v>188</v>
      </c>
      <c r="X19" s="77" t="s">
        <v>93</v>
      </c>
      <c r="Y19" s="7">
        <f t="shared" si="4"/>
        <v>3.4447949015205226</v>
      </c>
    </row>
    <row r="20" spans="1:25" s="6" customFormat="1" ht="20.100000000000001" customHeight="1">
      <c r="A20" s="74">
        <v>55</v>
      </c>
      <c r="B20" s="6" t="s">
        <v>189</v>
      </c>
      <c r="C20" s="74">
        <v>61390</v>
      </c>
      <c r="D20" s="74">
        <v>1022</v>
      </c>
      <c r="E20" s="6">
        <f t="shared" si="5"/>
        <v>60.06849315068493</v>
      </c>
      <c r="F20" s="6">
        <f t="shared" si="6"/>
        <v>36041.095890410958</v>
      </c>
      <c r="G20" s="6">
        <f t="shared" si="0"/>
        <v>3604109.5890410957</v>
      </c>
      <c r="H20" s="6">
        <v>100</v>
      </c>
      <c r="I20" s="74" t="s">
        <v>190</v>
      </c>
      <c r="J20" s="6">
        <f t="shared" si="7"/>
        <v>875798.63013698626</v>
      </c>
      <c r="K20" s="74" t="s">
        <v>191</v>
      </c>
      <c r="L20" s="12">
        <f t="shared" si="1"/>
        <v>218.94965753424657</v>
      </c>
      <c r="M20" s="78" t="s">
        <v>75</v>
      </c>
      <c r="N20" s="6">
        <f t="shared" si="8"/>
        <v>205.37477876712327</v>
      </c>
      <c r="O20" s="78" t="s">
        <v>192</v>
      </c>
      <c r="P20" s="78" t="s">
        <v>193</v>
      </c>
      <c r="Q20" s="6">
        <f t="shared" si="2"/>
        <v>37.659341095890404</v>
      </c>
      <c r="R20" s="78" t="s">
        <v>77</v>
      </c>
      <c r="S20" s="6">
        <f t="shared" si="9"/>
        <v>27.368707191780821</v>
      </c>
      <c r="T20" s="78" t="s">
        <v>79</v>
      </c>
      <c r="U20" s="78" t="s">
        <v>193</v>
      </c>
      <c r="V20" s="6">
        <f t="shared" si="3"/>
        <v>37.659341095890404</v>
      </c>
      <c r="W20" s="78" t="s">
        <v>89</v>
      </c>
      <c r="X20" s="78" t="s">
        <v>194</v>
      </c>
      <c r="Y20" s="6">
        <f t="shared" si="4"/>
        <v>44.446780479452059</v>
      </c>
    </row>
    <row r="21" spans="1:25" s="6" customFormat="1" ht="20.100000000000001" customHeight="1">
      <c r="A21" s="74">
        <v>56</v>
      </c>
      <c r="B21" s="6" t="s">
        <v>189</v>
      </c>
      <c r="C21" s="74">
        <v>28334</v>
      </c>
      <c r="D21" s="74">
        <v>889</v>
      </c>
      <c r="E21" s="6">
        <f t="shared" si="5"/>
        <v>31.871766029246345</v>
      </c>
      <c r="F21" s="6">
        <f t="shared" si="6"/>
        <v>19123.059617547806</v>
      </c>
      <c r="G21" s="6">
        <f t="shared" si="0"/>
        <v>1912305.9617547805</v>
      </c>
      <c r="H21" s="6">
        <v>100</v>
      </c>
      <c r="I21" s="74" t="s">
        <v>195</v>
      </c>
      <c r="J21" s="6">
        <f t="shared" si="7"/>
        <v>455128.81889763771</v>
      </c>
      <c r="K21" s="74" t="s">
        <v>116</v>
      </c>
      <c r="L21" s="12">
        <f t="shared" si="1"/>
        <v>81.923187401574793</v>
      </c>
      <c r="M21" s="78" t="s">
        <v>98</v>
      </c>
      <c r="N21" s="6">
        <f t="shared" si="8"/>
        <v>78.892029467716526</v>
      </c>
      <c r="O21" s="78" t="s">
        <v>188</v>
      </c>
      <c r="P21" s="78" t="s">
        <v>196</v>
      </c>
      <c r="Q21" s="6">
        <f t="shared" si="2"/>
        <v>6.0705081864566921</v>
      </c>
      <c r="R21" s="78" t="s">
        <v>162</v>
      </c>
      <c r="S21" s="6">
        <f t="shared" si="9"/>
        <v>9.0934738015748025</v>
      </c>
      <c r="T21" s="78" t="s">
        <v>79</v>
      </c>
      <c r="U21" s="78" t="s">
        <v>196</v>
      </c>
      <c r="V21" s="6">
        <f t="shared" si="3"/>
        <v>6.0705081864566921</v>
      </c>
      <c r="W21" s="78" t="s">
        <v>187</v>
      </c>
      <c r="X21" s="78" t="s">
        <v>197</v>
      </c>
      <c r="Y21" s="6">
        <f t="shared" si="4"/>
        <v>18.186947603149605</v>
      </c>
    </row>
    <row r="22" spans="1:25" s="6" customFormat="1" ht="20.100000000000001" customHeight="1">
      <c r="A22" s="74">
        <v>57</v>
      </c>
      <c r="B22" s="6" t="s">
        <v>189</v>
      </c>
      <c r="C22" s="74">
        <v>55746</v>
      </c>
      <c r="D22" s="74">
        <v>810</v>
      </c>
      <c r="E22" s="6">
        <f t="shared" si="5"/>
        <v>68.822222222222223</v>
      </c>
      <c r="F22" s="6">
        <f t="shared" si="6"/>
        <v>41293.333333333336</v>
      </c>
      <c r="G22" s="6">
        <f t="shared" si="0"/>
        <v>4129333.3333333335</v>
      </c>
      <c r="H22" s="6">
        <v>100</v>
      </c>
      <c r="I22" s="74" t="s">
        <v>198</v>
      </c>
      <c r="J22" s="6">
        <f t="shared" si="7"/>
        <v>999298.66666666663</v>
      </c>
      <c r="K22" s="74" t="s">
        <v>199</v>
      </c>
      <c r="L22" s="12">
        <f t="shared" si="1"/>
        <v>499.64933333333335</v>
      </c>
      <c r="M22" s="78" t="s">
        <v>200</v>
      </c>
      <c r="N22" s="6">
        <f t="shared" si="8"/>
        <v>477.16511333333335</v>
      </c>
      <c r="O22" s="78" t="s">
        <v>201</v>
      </c>
      <c r="P22" s="78" t="s">
        <v>202</v>
      </c>
      <c r="Q22" s="6">
        <f t="shared" si="2"/>
        <v>78.944594666666674</v>
      </c>
      <c r="R22" s="78" t="s">
        <v>203</v>
      </c>
      <c r="S22" s="6">
        <f t="shared" si="9"/>
        <v>41.320999866666668</v>
      </c>
      <c r="T22" s="78" t="s">
        <v>136</v>
      </c>
      <c r="U22" s="78" t="s">
        <v>204</v>
      </c>
      <c r="V22" s="6">
        <f t="shared" si="3"/>
        <v>74.947400000000002</v>
      </c>
      <c r="W22" s="78" t="s">
        <v>205</v>
      </c>
      <c r="X22" s="78" t="s">
        <v>206</v>
      </c>
      <c r="Y22" s="6">
        <f t="shared" si="4"/>
        <v>142.89970933333333</v>
      </c>
    </row>
    <row r="23" spans="1:25" s="6" customFormat="1" ht="20.100000000000001" customHeight="1">
      <c r="A23" s="74">
        <v>58</v>
      </c>
      <c r="B23" s="6" t="s">
        <v>189</v>
      </c>
      <c r="C23" s="74">
        <v>82493</v>
      </c>
      <c r="D23" s="74">
        <v>1063</v>
      </c>
      <c r="E23" s="6">
        <f t="shared" si="5"/>
        <v>77.603951081843832</v>
      </c>
      <c r="F23" s="6">
        <f t="shared" si="6"/>
        <v>46562.370649106299</v>
      </c>
      <c r="G23" s="6">
        <f t="shared" si="0"/>
        <v>4656237.0649106298</v>
      </c>
      <c r="H23" s="6">
        <v>100</v>
      </c>
      <c r="I23" s="74" t="s">
        <v>207</v>
      </c>
      <c r="J23" s="6">
        <f t="shared" si="7"/>
        <v>1322371.3264346188</v>
      </c>
      <c r="K23" s="74" t="s">
        <v>131</v>
      </c>
      <c r="L23" s="12">
        <f t="shared" si="1"/>
        <v>264.47426528692375</v>
      </c>
      <c r="M23" s="78" t="s">
        <v>208</v>
      </c>
      <c r="N23" s="6">
        <f t="shared" si="8"/>
        <v>258.92030571589834</v>
      </c>
      <c r="O23" s="78" t="s">
        <v>209</v>
      </c>
      <c r="P23" s="78" t="s">
        <v>78</v>
      </c>
      <c r="Q23" s="6">
        <f t="shared" si="2"/>
        <v>49.721161873941668</v>
      </c>
      <c r="R23" s="78" t="s">
        <v>210</v>
      </c>
      <c r="S23" s="6">
        <f t="shared" si="9"/>
        <v>16.529641580432735</v>
      </c>
      <c r="T23" s="78" t="s">
        <v>79</v>
      </c>
      <c r="U23" s="78" t="s">
        <v>78</v>
      </c>
      <c r="V23" s="6">
        <f t="shared" si="3"/>
        <v>49.721161873941668</v>
      </c>
      <c r="W23" s="78" t="s">
        <v>211</v>
      </c>
      <c r="X23" s="78" t="s">
        <v>212</v>
      </c>
      <c r="Y23" s="6">
        <f t="shared" si="4"/>
        <v>71.67252589275634</v>
      </c>
    </row>
    <row r="24" spans="1:25" s="6" customFormat="1" ht="20.100000000000001" customHeight="1">
      <c r="A24" s="74">
        <v>59</v>
      </c>
      <c r="B24" s="6" t="s">
        <v>189</v>
      </c>
      <c r="C24" s="74">
        <v>44055</v>
      </c>
      <c r="D24" s="74">
        <v>1067</v>
      </c>
      <c r="E24" s="6">
        <f t="shared" si="5"/>
        <v>41.288659793814432</v>
      </c>
      <c r="F24" s="6">
        <f t="shared" si="6"/>
        <v>24773.195876288661</v>
      </c>
      <c r="G24" s="6">
        <f t="shared" si="0"/>
        <v>2477319.5876288661</v>
      </c>
      <c r="H24" s="6">
        <v>100</v>
      </c>
      <c r="I24" s="74" t="s">
        <v>213</v>
      </c>
      <c r="J24" s="6">
        <f t="shared" si="7"/>
        <v>644103.09278350521</v>
      </c>
      <c r="K24" s="74" t="s">
        <v>90</v>
      </c>
      <c r="L24" s="12">
        <f t="shared" si="1"/>
        <v>167.46680412371134</v>
      </c>
      <c r="M24" s="78" t="s">
        <v>214</v>
      </c>
      <c r="N24" s="6">
        <f t="shared" si="8"/>
        <v>164.61986845360823</v>
      </c>
      <c r="O24" s="78" t="s">
        <v>215</v>
      </c>
      <c r="P24" s="78" t="s">
        <v>76</v>
      </c>
      <c r="Q24" s="6">
        <f t="shared" si="2"/>
        <v>22.273084948453608</v>
      </c>
      <c r="R24" s="78" t="s">
        <v>153</v>
      </c>
      <c r="S24" s="6">
        <f t="shared" si="9"/>
        <v>11.170035835051547</v>
      </c>
      <c r="T24" s="78" t="s">
        <v>79</v>
      </c>
      <c r="U24" s="78" t="s">
        <v>76</v>
      </c>
      <c r="V24" s="6">
        <f t="shared" si="3"/>
        <v>22.273084948453608</v>
      </c>
      <c r="W24" s="78" t="s">
        <v>216</v>
      </c>
      <c r="X24" s="78" t="s">
        <v>204</v>
      </c>
      <c r="Y24" s="6">
        <f t="shared" si="4"/>
        <v>25.120020618556701</v>
      </c>
    </row>
    <row r="25" spans="1:25" s="6" customFormat="1" ht="20.100000000000001" customHeight="1">
      <c r="A25" s="74">
        <v>60</v>
      </c>
      <c r="B25" s="6" t="s">
        <v>189</v>
      </c>
      <c r="C25" s="74">
        <v>37491</v>
      </c>
      <c r="D25" s="74">
        <v>875</v>
      </c>
      <c r="E25" s="6">
        <f t="shared" si="5"/>
        <v>42.846857142857139</v>
      </c>
      <c r="F25" s="6">
        <f t="shared" si="6"/>
        <v>25708.114285714284</v>
      </c>
      <c r="G25" s="6">
        <f t="shared" si="0"/>
        <v>2570811.4285714282</v>
      </c>
      <c r="H25" s="6">
        <v>100</v>
      </c>
      <c r="I25" s="74" t="s">
        <v>170</v>
      </c>
      <c r="J25" s="6">
        <f t="shared" si="7"/>
        <v>647844.47999999986</v>
      </c>
      <c r="K25" s="74" t="s">
        <v>160</v>
      </c>
      <c r="L25" s="12">
        <f t="shared" si="1"/>
        <v>90.698227199999977</v>
      </c>
      <c r="M25" s="78" t="s">
        <v>217</v>
      </c>
      <c r="N25" s="6">
        <f t="shared" si="8"/>
        <v>88.340073292799971</v>
      </c>
      <c r="O25" s="78" t="s">
        <v>218</v>
      </c>
      <c r="P25" s="78" t="s">
        <v>188</v>
      </c>
      <c r="Q25" s="6">
        <f t="shared" si="2"/>
        <v>6.9746936716799981</v>
      </c>
      <c r="R25" s="78" t="s">
        <v>142</v>
      </c>
      <c r="S25" s="6">
        <f t="shared" si="9"/>
        <v>0</v>
      </c>
      <c r="T25" s="78" t="s">
        <v>79</v>
      </c>
      <c r="U25" s="78" t="s">
        <v>188</v>
      </c>
      <c r="V25" s="6">
        <f t="shared" si="3"/>
        <v>6.9746936716799981</v>
      </c>
      <c r="W25" s="78" t="s">
        <v>218</v>
      </c>
      <c r="X25" s="78" t="s">
        <v>188</v>
      </c>
      <c r="Y25" s="6">
        <f t="shared" si="4"/>
        <v>6.9746936716799981</v>
      </c>
    </row>
    <row r="26" spans="1:25">
      <c r="J26" s="6"/>
    </row>
    <row r="27" spans="1:25">
      <c r="E27" s="3"/>
      <c r="F27" s="3"/>
      <c r="G27" s="1"/>
    </row>
    <row r="28" spans="1:25">
      <c r="D28" s="4"/>
    </row>
    <row r="29" spans="1:25">
      <c r="D29" s="4"/>
    </row>
    <row r="30" spans="1:25">
      <c r="D30" s="4"/>
    </row>
    <row r="31" spans="1:25">
      <c r="D31" s="4"/>
    </row>
    <row r="32" spans="1:25">
      <c r="D32" s="4"/>
    </row>
    <row r="33" spans="4:4">
      <c r="D33" s="4"/>
    </row>
    <row r="34" spans="4:4">
      <c r="D34" s="5"/>
    </row>
    <row r="35" spans="4:4">
      <c r="D35" s="5"/>
    </row>
    <row r="36" spans="4:4">
      <c r="D36" s="5"/>
    </row>
    <row r="37" spans="4:4">
      <c r="D37" s="5"/>
    </row>
    <row r="38" spans="4:4">
      <c r="D38" s="5"/>
    </row>
    <row r="39" spans="4:4">
      <c r="D39" s="5"/>
    </row>
    <row r="40" spans="4:4">
      <c r="D40" s="7"/>
    </row>
    <row r="41" spans="4:4">
      <c r="D41" s="7"/>
    </row>
    <row r="42" spans="4:4">
      <c r="D42" s="7"/>
    </row>
    <row r="43" spans="4:4">
      <c r="D43" s="7"/>
    </row>
    <row r="44" spans="4:4">
      <c r="D44" s="7"/>
    </row>
    <row r="45" spans="4:4">
      <c r="D45" s="7"/>
    </row>
    <row r="46" spans="4:4">
      <c r="D46" s="6"/>
    </row>
    <row r="47" spans="4:4">
      <c r="D47" s="6"/>
    </row>
    <row r="48" spans="4:4">
      <c r="D48" s="6"/>
    </row>
    <row r="49" spans="4:4">
      <c r="D49" s="6"/>
    </row>
    <row r="50" spans="4:4">
      <c r="D50" s="6"/>
    </row>
    <row r="51" spans="4:4">
      <c r="D51" s="6"/>
    </row>
  </sheetData>
  <pageMargins left="0.7" right="0.7" top="0.75" bottom="0.75" header="0.3" footer="0.3"/>
  <pageSetup paperSize="9" scale="39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83843F62446140B43087719AA3FA42" ma:contentTypeVersion="3" ma:contentTypeDescription="Create a new document." ma:contentTypeScope="" ma:versionID="a2b02d47afae1ddf391ae6527f3c4a21">
  <xsd:schema xmlns:xsd="http://www.w3.org/2001/XMLSchema" xmlns:xs="http://www.w3.org/2001/XMLSchema" xmlns:p="http://schemas.microsoft.com/office/2006/metadata/properties" xmlns:ns2="f3da9a27-8783-4f30-8e1f-ac4eaf480372" targetNamespace="http://schemas.microsoft.com/office/2006/metadata/properties" ma:root="true" ma:fieldsID="53f09811bc5b7618933efac4b9b5e9ea" ns2:_="">
    <xsd:import namespace="f3da9a27-8783-4f30-8e1f-ac4eaf480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9a27-8783-4f30-8e1f-ac4eaf4803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149DAB-317F-4E14-9BA5-84BD659D638B}"/>
</file>

<file path=customXml/itemProps2.xml><?xml version="1.0" encoding="utf-8"?>
<ds:datastoreItem xmlns:ds="http://schemas.openxmlformats.org/officeDocument/2006/customXml" ds:itemID="{D3309159-E174-41EA-A890-DA22F37C2FDF}"/>
</file>

<file path=customXml/itemProps3.xml><?xml version="1.0" encoding="utf-8"?>
<ds:datastoreItem xmlns:ds="http://schemas.openxmlformats.org/officeDocument/2006/customXml" ds:itemID="{823A259E-BB55-439B-9C0E-23C4D4EFD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Taylah Bennett</dc:creator>
  <cp:keywords/>
  <dc:description/>
  <cp:lastModifiedBy>Taylah Bennett</cp:lastModifiedBy>
  <cp:revision/>
  <dcterms:created xsi:type="dcterms:W3CDTF">2025-10-06T04:32:20Z</dcterms:created>
  <dcterms:modified xsi:type="dcterms:W3CDTF">2026-08-12T06:30:38Z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0x010100B683843F62446140B43087719AA3FA42</vt:lpwstr>
  </property>
</Properties>
</file>
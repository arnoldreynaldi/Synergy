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3" documentId="13_ncr:1_{A5AD055C-7169-CD43-AC77-12D1CC1717E4}" xr6:coauthVersionLast="47" xr6:coauthVersionMax="47" xr10:uidLastSave="{2666C238-BC35-45E5-9735-6B6F196C3384}"/>
  <bookViews>
    <workbookView xWindow="4940" yWindow="1140" windowWidth="45360" windowHeight="24740" xr2:uid="{6B8B4BA7-DC4F-C249-AB8D-61FDA605D1B1}"/>
  </bookViews>
  <sheets>
    <sheet name="Start here" sheetId="2" r:id="rId1"/>
    <sheet name="Data dictionary" sheetId="3" r:id="rId2"/>
    <sheet name="Processed dat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9" i="4" l="1"/>
  <c r="S10" i="4"/>
  <c r="S11" i="4"/>
  <c r="S19" i="4"/>
  <c r="E3" i="4"/>
  <c r="F3" i="4" s="1"/>
  <c r="G3" i="4" s="1"/>
  <c r="J3" i="4" s="1"/>
  <c r="L3" i="4" s="1"/>
  <c r="V3" i="4" s="1"/>
  <c r="E4" i="4"/>
  <c r="F4" i="4" s="1"/>
  <c r="G4" i="4" s="1"/>
  <c r="J4" i="4" s="1"/>
  <c r="L4" i="4" s="1"/>
  <c r="V4" i="4" s="1"/>
  <c r="E5" i="4"/>
  <c r="F5" i="4" s="1"/>
  <c r="G5" i="4" s="1"/>
  <c r="J5" i="4" s="1"/>
  <c r="L5" i="4" s="1"/>
  <c r="S5" i="4" s="1"/>
  <c r="E6" i="4"/>
  <c r="F6" i="4" s="1"/>
  <c r="G6" i="4" s="1"/>
  <c r="J6" i="4" s="1"/>
  <c r="L6" i="4" s="1"/>
  <c r="V6" i="4" s="1"/>
  <c r="E7" i="4"/>
  <c r="F7" i="4" s="1"/>
  <c r="G7" i="4" s="1"/>
  <c r="J7" i="4" s="1"/>
  <c r="L7" i="4" s="1"/>
  <c r="V7" i="4" s="1"/>
  <c r="E8" i="4"/>
  <c r="F8" i="4" s="1"/>
  <c r="G8" i="4" s="1"/>
  <c r="J8" i="4" s="1"/>
  <c r="L8" i="4" s="1"/>
  <c r="V8" i="4" s="1"/>
  <c r="E9" i="4"/>
  <c r="F9" i="4" s="1"/>
  <c r="G9" i="4" s="1"/>
  <c r="J9" i="4" s="1"/>
  <c r="L9" i="4" s="1"/>
  <c r="V9" i="4" s="1"/>
  <c r="E10" i="4"/>
  <c r="F10" i="4" s="1"/>
  <c r="G10" i="4" s="1"/>
  <c r="J10" i="4" s="1"/>
  <c r="L10" i="4" s="1"/>
  <c r="V10" i="4" s="1"/>
  <c r="E11" i="4"/>
  <c r="F11" i="4" s="1"/>
  <c r="G11" i="4" s="1"/>
  <c r="J11" i="4" s="1"/>
  <c r="L11" i="4" s="1"/>
  <c r="V11" i="4" s="1"/>
  <c r="E12" i="4"/>
  <c r="F12" i="4" s="1"/>
  <c r="G12" i="4" s="1"/>
  <c r="J12" i="4" s="1"/>
  <c r="L12" i="4" s="1"/>
  <c r="S12" i="4" s="1"/>
  <c r="E13" i="4"/>
  <c r="F13" i="4" s="1"/>
  <c r="G13" i="4" s="1"/>
  <c r="J13" i="4" s="1"/>
  <c r="L13" i="4" s="1"/>
  <c r="S13" i="4" s="1"/>
  <c r="E14" i="4"/>
  <c r="F14" i="4" s="1"/>
  <c r="G14" i="4" s="1"/>
  <c r="J14" i="4" s="1"/>
  <c r="L14" i="4" s="1"/>
  <c r="V14" i="4" s="1"/>
  <c r="E15" i="4"/>
  <c r="F15" i="4" s="1"/>
  <c r="G15" i="4" s="1"/>
  <c r="J15" i="4" s="1"/>
  <c r="L15" i="4" s="1"/>
  <c r="V15" i="4" s="1"/>
  <c r="E16" i="4"/>
  <c r="F16" i="4" s="1"/>
  <c r="G16" i="4" s="1"/>
  <c r="J16" i="4" s="1"/>
  <c r="L16" i="4" s="1"/>
  <c r="V16" i="4" s="1"/>
  <c r="E17" i="4"/>
  <c r="F17" i="4" s="1"/>
  <c r="G17" i="4" s="1"/>
  <c r="J17" i="4" s="1"/>
  <c r="L17" i="4" s="1"/>
  <c r="V17" i="4" s="1"/>
  <c r="E18" i="4"/>
  <c r="F18" i="4" s="1"/>
  <c r="G18" i="4" s="1"/>
  <c r="J18" i="4" s="1"/>
  <c r="L18" i="4" s="1"/>
  <c r="V18" i="4" s="1"/>
  <c r="E19" i="4"/>
  <c r="F19" i="4" s="1"/>
  <c r="G19" i="4" s="1"/>
  <c r="J19" i="4" s="1"/>
  <c r="L19" i="4" s="1"/>
  <c r="V19" i="4" s="1"/>
  <c r="E20" i="4"/>
  <c r="F20" i="4" s="1"/>
  <c r="G20" i="4" s="1"/>
  <c r="J20" i="4" s="1"/>
  <c r="L20" i="4" s="1"/>
  <c r="V20" i="4" s="1"/>
  <c r="E21" i="4"/>
  <c r="F21" i="4" s="1"/>
  <c r="G21" i="4" s="1"/>
  <c r="J21" i="4" s="1"/>
  <c r="L21" i="4" s="1"/>
  <c r="V21" i="4" s="1"/>
  <c r="E22" i="4"/>
  <c r="F22" i="4" s="1"/>
  <c r="G22" i="4" s="1"/>
  <c r="J22" i="4" s="1"/>
  <c r="L22" i="4" s="1"/>
  <c r="S22" i="4" s="1"/>
  <c r="E23" i="4"/>
  <c r="F23" i="4" s="1"/>
  <c r="G23" i="4" s="1"/>
  <c r="J23" i="4" s="1"/>
  <c r="L23" i="4" s="1"/>
  <c r="S23" i="4" s="1"/>
  <c r="E24" i="4"/>
  <c r="F24" i="4" s="1"/>
  <c r="G24" i="4" s="1"/>
  <c r="J24" i="4" s="1"/>
  <c r="L24" i="4" s="1"/>
  <c r="V24" i="4" s="1"/>
  <c r="E25" i="4"/>
  <c r="F25" i="4" s="1"/>
  <c r="G25" i="4" s="1"/>
  <c r="J25" i="4" s="1"/>
  <c r="L25" i="4" s="1"/>
  <c r="S25" i="4" s="1"/>
  <c r="E2" i="4"/>
  <c r="F2" i="4" s="1"/>
  <c r="G2" i="4" s="1"/>
  <c r="J2" i="4" s="1"/>
  <c r="L2" i="4" s="1"/>
  <c r="V2" i="4" s="1"/>
  <c r="S21" i="4" l="1"/>
  <c r="S24" i="4"/>
  <c r="V23" i="4"/>
  <c r="V22" i="4"/>
  <c r="V25" i="4"/>
  <c r="S20" i="4"/>
  <c r="S18" i="4"/>
  <c r="S17" i="4"/>
  <c r="S16" i="4"/>
  <c r="S15" i="4"/>
  <c r="S14" i="4"/>
  <c r="V13" i="4"/>
  <c r="V12" i="4"/>
  <c r="S8" i="4"/>
  <c r="S7" i="4"/>
  <c r="V5" i="4"/>
  <c r="S6" i="4"/>
  <c r="S4" i="4"/>
  <c r="S3" i="4"/>
  <c r="S2" i="4"/>
  <c r="X8" i="4"/>
  <c r="N8" i="4"/>
  <c r="X9" i="4"/>
  <c r="N9" i="4"/>
  <c r="X16" i="4"/>
  <c r="N16" i="4"/>
  <c r="X21" i="4"/>
  <c r="N21" i="4"/>
  <c r="X19" i="4"/>
  <c r="N19" i="4"/>
  <c r="X11" i="4"/>
  <c r="N11" i="4"/>
  <c r="X22" i="4"/>
  <c r="N22" i="4"/>
  <c r="X12" i="4"/>
  <c r="N12" i="4"/>
  <c r="X3" i="4"/>
  <c r="N3" i="4"/>
  <c r="N23" i="4"/>
  <c r="X23" i="4"/>
  <c r="X5" i="4"/>
  <c r="N5" i="4"/>
  <c r="X6" i="4"/>
  <c r="N6" i="4"/>
  <c r="X10" i="4"/>
  <c r="N10" i="4"/>
  <c r="X17" i="4"/>
  <c r="N17" i="4"/>
  <c r="X2" i="4"/>
  <c r="N2" i="4"/>
  <c r="X13" i="4"/>
  <c r="N13" i="4"/>
  <c r="X18" i="4"/>
  <c r="N18" i="4"/>
  <c r="X4" i="4"/>
  <c r="N4" i="4"/>
  <c r="X14" i="4"/>
  <c r="N14" i="4"/>
  <c r="X24" i="4"/>
  <c r="N24" i="4"/>
  <c r="X7" i="4"/>
  <c r="N7" i="4"/>
  <c r="X15" i="4"/>
  <c r="N15" i="4"/>
  <c r="X20" i="4"/>
  <c r="N20" i="4"/>
  <c r="X25" i="4"/>
  <c r="N25" i="4"/>
  <c r="Q7" i="4" l="1"/>
  <c r="AA7" i="4"/>
  <c r="Q24" i="4"/>
  <c r="AA24" i="4"/>
  <c r="Q23" i="4"/>
  <c r="AA23" i="4"/>
  <c r="Q25" i="4"/>
  <c r="AA25" i="4"/>
  <c r="Q2" i="4"/>
  <c r="AA2" i="4"/>
  <c r="Q19" i="4"/>
  <c r="AA19" i="4"/>
  <c r="Q16" i="4"/>
  <c r="AA16" i="4"/>
  <c r="Q11" i="4"/>
  <c r="AA11" i="4"/>
  <c r="Q13" i="4"/>
  <c r="AA13" i="4"/>
  <c r="Q6" i="4"/>
  <c r="AA6" i="4"/>
  <c r="Q9" i="4"/>
  <c r="AA9" i="4"/>
  <c r="Q10" i="4"/>
  <c r="AA10" i="4"/>
  <c r="Q8" i="4"/>
  <c r="AA8" i="4"/>
  <c r="Q5" i="4"/>
  <c r="AA5" i="4"/>
  <c r="Q15" i="4"/>
  <c r="AA15" i="4"/>
  <c r="Q18" i="4"/>
  <c r="AA18" i="4"/>
  <c r="Q22" i="4"/>
  <c r="AA22" i="4"/>
  <c r="Q12" i="4"/>
  <c r="AA12" i="4"/>
  <c r="Q20" i="4"/>
  <c r="AA20" i="4"/>
  <c r="Q4" i="4"/>
  <c r="AA4" i="4"/>
  <c r="Q14" i="4"/>
  <c r="AA14" i="4"/>
  <c r="Q17" i="4"/>
  <c r="AA17" i="4"/>
  <c r="Q3" i="4"/>
  <c r="AA3" i="4"/>
  <c r="Q21" i="4"/>
  <c r="AA21" i="4"/>
</calcChain>
</file>

<file path=xl/sharedStrings.xml><?xml version="1.0" encoding="utf-8"?>
<sst xmlns="http://schemas.openxmlformats.org/spreadsheetml/2006/main" count="410" uniqueCount="302">
  <si>
    <t>Experiment code:</t>
  </si>
  <si>
    <t>Syn.26.8</t>
  </si>
  <si>
    <t>Experiment date:</t>
  </si>
  <si>
    <t>10/04/20256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</si>
  <si>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</si>
  <si>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</si>
  <si>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</si>
  <si>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</si>
  <si>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</si>
  <si>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</si>
  <si>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</si>
  <si>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</si>
  <si>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</si>
  <si>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</si>
  <si>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</si>
  <si>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</si>
  <si>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-SP/TM (IC)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</si>
  <si>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</si>
  <si>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</si>
  <si>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</si>
  <si>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</si>
  <si>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</si>
  <si>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5 µL of cell pellet resuspension (total 100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</si>
  <si>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</si>
  <si>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</si>
  <si>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</si>
  <si>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</si>
  <si>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</si>
  <si>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</si>
  <si>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</si>
  <si>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</si>
  <si>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</si>
  <si>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</si>
  <si>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</si>
  <si>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</si>
  <si>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</si>
  <si>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</si>
  <si>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</si>
  <si>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</si>
  <si>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</si>
  <si>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</si>
  <si>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</si>
  <si>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</si>
  <si>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</si>
  <si>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</si>
  <si>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</si>
  <si>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</si>
  <si>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</si>
  <si>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</si>
  <si>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</si>
  <si>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</si>
  <si>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</si>
  <si>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>Number of bead events</t>
  </si>
  <si>
    <t>Cell/bead ratio</t>
  </si>
  <si>
    <t>Cells/µL</t>
  </si>
  <si>
    <t>Cells in total sample vol</t>
  </si>
  <si>
    <t>Total sample vol (µL)</t>
  </si>
  <si>
    <t>CD8 (% live lymphocytes)</t>
  </si>
  <si>
    <t>Number of CD8</t>
  </si>
  <si>
    <t>Tetramer+ (% CD8 T cells)</t>
  </si>
  <si>
    <t>Number of tetramer+ cells</t>
  </si>
  <si>
    <t>CD127+ KLRG1- memory (% tetramer)</t>
  </si>
  <si>
    <t>Number of CD127+ KLRG1- memory</t>
  </si>
  <si>
    <t>CD62L+ CX3CR1- TCM (% of memory)</t>
  </si>
  <si>
    <t>CD62L+ CX3CR1 TCM ( % of tetramer)</t>
  </si>
  <si>
    <t>Number of CD62L+ CX3CR1- TCM</t>
  </si>
  <si>
    <t>CD127+ PD-1+ CXCR5+ Tfh like (% tetramer)</t>
  </si>
  <si>
    <t>Number of CXCR5+ PD-1+ CD127+ KLRG1- TFH like</t>
  </si>
  <si>
    <t>CD127+ KLRG1- CD62L+ TCF1+ SLAMF6+ Tscm (%TCM)</t>
  </si>
  <si>
    <t>CD127+ KLRG1- CD62L+ TCF1+ SLAMF6+ Tscm (% tetramer)</t>
  </si>
  <si>
    <t xml:space="preserve">Number of CD127+ KLRG1- TCF1+ SLAMF6+ Tscm 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</si>
  <si>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</si>
  <si>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</si>
  <si>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</si>
  <si>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</si>
  <si>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</si>
  <si>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28.3 %</t>
  </si>
  <si>
    <t>0.14 %</t>
  </si>
  <si>
    <t>61.4 %</t>
  </si>
  <si>
    <t>13.7 %</t>
  </si>
  <si>
    <t>8.38 %</t>
  </si>
  <si>
    <t>1.95 %</t>
  </si>
  <si>
    <t>90.7 %</t>
  </si>
  <si>
    <t>7.60 %</t>
  </si>
  <si>
    <t>4.48 %</t>
  </si>
  <si>
    <t>20.0 %</t>
  </si>
  <si>
    <t>12.3 %</t>
  </si>
  <si>
    <t>26.8 %</t>
  </si>
  <si>
    <t>0.21 %</t>
  </si>
  <si>
    <t>61.3 %</t>
  </si>
  <si>
    <t>16.6 %</t>
  </si>
  <si>
    <t>10.2 %</t>
  </si>
  <si>
    <t>2.42 %</t>
  </si>
  <si>
    <t>95.1 %</t>
  </si>
  <si>
    <t>9.67 %</t>
  </si>
  <si>
    <t>3.17 %</t>
  </si>
  <si>
    <t>10.5 %</t>
  </si>
  <si>
    <t>6.42 %</t>
  </si>
  <si>
    <t>25.7 %</t>
  </si>
  <si>
    <t>53.4 %</t>
  </si>
  <si>
    <t>19.5 %</t>
  </si>
  <si>
    <t>10.4 %</t>
  </si>
  <si>
    <t>2.52 %</t>
  </si>
  <si>
    <t>93.5 %</t>
  </si>
  <si>
    <t>9.75 %</t>
  </si>
  <si>
    <t>3.53 %</t>
  </si>
  <si>
    <t>13.8 %</t>
  </si>
  <si>
    <t>7.39 %</t>
  </si>
  <si>
    <t>28.2 %</t>
  </si>
  <si>
    <t>0.080 %</t>
  </si>
  <si>
    <t>59.2 %</t>
  </si>
  <si>
    <t>25.0 %</t>
  </si>
  <si>
    <t>14.8 %</t>
  </si>
  <si>
    <t>3.87 %</t>
  </si>
  <si>
    <t>90.5 %</t>
  </si>
  <si>
    <t>13.4 %</t>
  </si>
  <si>
    <t>6.69 %</t>
  </si>
  <si>
    <t>20.8 %</t>
  </si>
  <si>
    <t>28.0 %</t>
  </si>
  <si>
    <t>0.13 %</t>
  </si>
  <si>
    <t>66.9 %</t>
  </si>
  <si>
    <t>24.1 %</t>
  </si>
  <si>
    <t>16.1 %</t>
  </si>
  <si>
    <t>1.17 %</t>
  </si>
  <si>
    <t>82.3 %</t>
  </si>
  <si>
    <t>13.3 %</t>
  </si>
  <si>
    <t>1.68 %</t>
  </si>
  <si>
    <t>8.22 %</t>
  </si>
  <si>
    <t>0.15 %</t>
  </si>
  <si>
    <t>58.2 %</t>
  </si>
  <si>
    <t>18.4 %</t>
  </si>
  <si>
    <t>10.7 %</t>
  </si>
  <si>
    <t>0.82 %</t>
  </si>
  <si>
    <t>85.9 %</t>
  </si>
  <si>
    <t>9.19 %</t>
  </si>
  <si>
    <t>3.98 %</t>
  </si>
  <si>
    <t>13.9 %</t>
  </si>
  <si>
    <t>8.09 %</t>
  </si>
  <si>
    <t>28.4 %</t>
  </si>
  <si>
    <t>0.071 %</t>
  </si>
  <si>
    <t>67.8 %</t>
  </si>
  <si>
    <t>21.2 %</t>
  </si>
  <si>
    <t>14.4 %</t>
  </si>
  <si>
    <t>1.14 %</t>
  </si>
  <si>
    <t>97.4 %</t>
  </si>
  <si>
    <t>14.0 %</t>
  </si>
  <si>
    <t>3.41 %</t>
  </si>
  <si>
    <t>10.1 %</t>
  </si>
  <si>
    <t>6.82 %</t>
  </si>
  <si>
    <t>25.3 %</t>
  </si>
  <si>
    <t>0.050 %</t>
  </si>
  <si>
    <t>73.3 %</t>
  </si>
  <si>
    <t>12.7 %</t>
  </si>
  <si>
    <t>9.30 %</t>
  </si>
  <si>
    <t>0 %</t>
  </si>
  <si>
    <t>75.0 %</t>
  </si>
  <si>
    <t>6.98 %</t>
  </si>
  <si>
    <t>2.33 %</t>
  </si>
  <si>
    <t>13.5 %</t>
  </si>
  <si>
    <t>9.88 %</t>
  </si>
  <si>
    <t>29.7 %</t>
  </si>
  <si>
    <t>0.067 %</t>
  </si>
  <si>
    <t>55.0 %</t>
  </si>
  <si>
    <t>15.3 %</t>
  </si>
  <si>
    <t>8.40 %</t>
  </si>
  <si>
    <t>6.30 %</t>
  </si>
  <si>
    <t>4.62 %</t>
  </si>
  <si>
    <t>14.5 %</t>
  </si>
  <si>
    <t>7.98 %</t>
  </si>
  <si>
    <t>26.3 %</t>
  </si>
  <si>
    <t>0.081 %</t>
  </si>
  <si>
    <t>66.4 %</t>
  </si>
  <si>
    <t>23.5 %</t>
  </si>
  <si>
    <t>15.6 %</t>
  </si>
  <si>
    <t>1.63 %</t>
  </si>
  <si>
    <t>95.8 %</t>
  </si>
  <si>
    <t>15.0 %</t>
  </si>
  <si>
    <t>4.89 %</t>
  </si>
  <si>
    <t>10.8 %</t>
  </si>
  <si>
    <t>7.17 %</t>
  </si>
  <si>
    <t>29.2 %</t>
  </si>
  <si>
    <t>0.055 %</t>
  </si>
  <si>
    <t>61.1 %</t>
  </si>
  <si>
    <t>18.5 %</t>
  </si>
  <si>
    <t>11.3 %</t>
  </si>
  <si>
    <t>2.96 %</t>
  </si>
  <si>
    <t>87.0 %</t>
  </si>
  <si>
    <t>9.85 %</t>
  </si>
  <si>
    <t>0.99 %</t>
  </si>
  <si>
    <t>12.9 %</t>
  </si>
  <si>
    <t>7.88 %</t>
  </si>
  <si>
    <t>29.0 %</t>
  </si>
  <si>
    <t>0.12 %</t>
  </si>
  <si>
    <t>47.1 %</t>
  </si>
  <si>
    <t>25.6 %</t>
  </si>
  <si>
    <t>12.0 %</t>
  </si>
  <si>
    <t>1.04 %</t>
  </si>
  <si>
    <t>87.9 %</t>
  </si>
  <si>
    <t>10.6 %</t>
  </si>
  <si>
    <t>6.85 %</t>
  </si>
  <si>
    <t>7.05 %</t>
  </si>
  <si>
    <t>0.057 %</t>
  </si>
  <si>
    <t>66.5 %</t>
  </si>
  <si>
    <t>41.0 %</t>
  </si>
  <si>
    <t>27.3 %</t>
  </si>
  <si>
    <t>4.55 %</t>
  </si>
  <si>
    <t>100 %</t>
  </si>
  <si>
    <t>5.98 %</t>
  </si>
  <si>
    <t>29.4 %</t>
  </si>
  <si>
    <t>55.4 %</t>
  </si>
  <si>
    <t>33.0 %</t>
  </si>
  <si>
    <t>18.3 %</t>
  </si>
  <si>
    <t>3.93 %</t>
  </si>
  <si>
    <t>94.4 %</t>
  </si>
  <si>
    <t>17.3 %</t>
  </si>
  <si>
    <t>2.05 %</t>
  </si>
  <si>
    <t>6.67 %</t>
  </si>
  <si>
    <t>30.0 %</t>
  </si>
  <si>
    <t>0.066 %</t>
  </si>
  <si>
    <t>67.5 %</t>
  </si>
  <si>
    <t>32.8 %</t>
  </si>
  <si>
    <t>22.1 %</t>
  </si>
  <si>
    <t>5.00 %</t>
  </si>
  <si>
    <t>83.9 %</t>
  </si>
  <si>
    <t>18.6 %</t>
  </si>
  <si>
    <t>2.14 %</t>
  </si>
  <si>
    <t>9.52 %</t>
  </si>
  <si>
    <t>6.43 %</t>
  </si>
  <si>
    <t>29.9 %</t>
  </si>
  <si>
    <t>76.4 %</t>
  </si>
  <si>
    <t>21.4 %</t>
  </si>
  <si>
    <t>3.49 %</t>
  </si>
  <si>
    <t>91.8 %</t>
  </si>
  <si>
    <t>19.7 %</t>
  </si>
  <si>
    <t>0.87 %</t>
  </si>
  <si>
    <t>10.9 %</t>
  </si>
  <si>
    <t>8.30 %</t>
  </si>
  <si>
    <t>32.6 %</t>
  </si>
  <si>
    <t>78.7 %</t>
  </si>
  <si>
    <t>30.4 %</t>
  </si>
  <si>
    <t>24.0 %</t>
  </si>
  <si>
    <t>5.32 %</t>
  </si>
  <si>
    <t>96.8 %</t>
  </si>
  <si>
    <t>23.2 %</t>
  </si>
  <si>
    <t>0.38 %</t>
  </si>
  <si>
    <t>9.18 %</t>
  </si>
  <si>
    <t>7.22 %</t>
  </si>
  <si>
    <t>30.1 %</t>
  </si>
  <si>
    <t>0.049 %</t>
  </si>
  <si>
    <t>73.9 %</t>
  </si>
  <si>
    <t>43.5 %</t>
  </si>
  <si>
    <t>32.2 %</t>
  </si>
  <si>
    <t>95.2 %</t>
  </si>
  <si>
    <t>30.7 %</t>
  </si>
  <si>
    <t>1.53 %</t>
  </si>
  <si>
    <t>4.66 %</t>
  </si>
  <si>
    <t>3.45 %</t>
  </si>
  <si>
    <t>78.1 %</t>
  </si>
  <si>
    <t>1.05 %</t>
  </si>
  <si>
    <t>94.9 %</t>
  </si>
  <si>
    <t>9.86 %</t>
  </si>
  <si>
    <t>0.60 %</t>
  </si>
  <si>
    <t>14.7 %</t>
  </si>
  <si>
    <t>11.5 %</t>
  </si>
  <si>
    <t>0.085 %</t>
  </si>
  <si>
    <t>72.0 %</t>
  </si>
  <si>
    <t>21.1 %</t>
  </si>
  <si>
    <t>15.2 %</t>
  </si>
  <si>
    <t>3.08 %</t>
  </si>
  <si>
    <t>6.07 %</t>
  </si>
  <si>
    <t>4.37 %</t>
  </si>
  <si>
    <t>0.11 %</t>
  </si>
  <si>
    <t>75.1 %</t>
  </si>
  <si>
    <t>9.45 %</t>
  </si>
  <si>
    <t>7.10 %</t>
  </si>
  <si>
    <t>3.85 %</t>
  </si>
  <si>
    <t>6.80 %</t>
  </si>
  <si>
    <t>11.4 %</t>
  </si>
  <si>
    <t>8.58 %</t>
  </si>
  <si>
    <t>24.6 %</t>
  </si>
  <si>
    <t>0.29 %</t>
  </si>
  <si>
    <t>9.02 %</t>
  </si>
  <si>
    <t>89.2 %</t>
  </si>
  <si>
    <t>8.04 %</t>
  </si>
  <si>
    <t>14.6 %</t>
  </si>
  <si>
    <t>11.0 %</t>
  </si>
  <si>
    <t>27.1 %</t>
  </si>
  <si>
    <t>0.18 %</t>
  </si>
  <si>
    <t>77.2 %</t>
  </si>
  <si>
    <t>1.42 %</t>
  </si>
  <si>
    <t>0.63 %</t>
  </si>
  <si>
    <t>11.9 %</t>
  </si>
  <si>
    <t>29.6 %</t>
  </si>
  <si>
    <t>0.19 %</t>
  </si>
  <si>
    <t>80.9 %</t>
  </si>
  <si>
    <t>11.6 %</t>
  </si>
  <si>
    <t>9.40 %</t>
  </si>
  <si>
    <t>2.01 %</t>
  </si>
  <si>
    <t>90.0 %</t>
  </si>
  <si>
    <t>8.46 %</t>
  </si>
  <si>
    <t>0.40 %</t>
  </si>
  <si>
    <t>12.6 %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</si>
</sst>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0"/>
      <color theme="3" tint="0.499984740745262"/>
      <name val="Arial"/>
      <family val="2"/>
    </font>
    <font>
      <sz val="12"/>
      <color theme="5" tint="0.39997558519241921"/>
      <name val="Helvetica"/>
      <family val="2"/>
    </font>
    <font>
      <sz val="10"/>
      <color theme="5" tint="0.39997558519241921"/>
      <name val="Arial"/>
      <family val="2"/>
    </font>
    <font>
      <sz val="12"/>
      <color theme="6" tint="0.39997558519241921"/>
      <name val="Helvetica"/>
      <family val="2"/>
    </font>
    <font>
      <sz val="10"/>
      <color theme="6" tint="0.39997558519241921"/>
      <name val="Arial"/>
      <family val="2"/>
    </font>
    <font>
      <sz val="12"/>
      <color theme="8" tint="0.39997558519241921"/>
      <name val="Helvetica"/>
      <family val="2"/>
    </font>
    <font>
      <sz val="10"/>
      <color theme="8" tint="0.39997558519241921"/>
      <name val="Arial"/>
      <family val="2"/>
    </font>
    <font>
      <sz val="14"/>
      <color theme="1"/>
      <name val="Helvetica"/>
      <family val="2"/>
    </font>
    <font>
      <sz val="12"/>
      <color theme="5"/>
      <name val="Helvetica"/>
      <family val="2"/>
    </font>
    <font>
      <b/>
      <i/>
      <sz val="12"/>
      <color theme="3" tint="0.499984740745262"/>
      <name val="Helvetica"/>
      <family val="2"/>
    </font>
    <font>
      <b/>
      <i/>
      <sz val="12"/>
      <color theme="5" tint="0.39997558519241921"/>
      <name val="Helvetica"/>
      <family val="2"/>
    </font>
    <font>
      <b/>
      <i/>
      <sz val="12"/>
      <color theme="6" tint="0.39997558519241921"/>
      <name val="Helvetica"/>
      <family val="2"/>
    </font>
    <font>
      <b/>
      <i/>
      <sz val="12"/>
      <color theme="8" tint="0.39997558519241921"/>
      <name val="Helvetica"/>
      <family val="2"/>
    </font>
    <font>
      <sz val="14"/>
      <color theme="1"/>
      <name val="Aptos Narrow"/>
      <family val="2"/>
      <scheme val="minor"/>
    </font>
    <font>
      <b/>
      <sz val="14"/>
      <color theme="1"/>
      <name val="Helvetica"/>
      <family val="2"/>
    </font>
    <font>
      <sz val="12"/>
      <color theme="3" tint="0.499984740745262"/>
      <name val="Aptos Narrow"/>
      <family val="2"/>
      <scheme val="minor"/>
    </font>
    <font>
      <sz val="12"/>
      <color theme="5" tint="0.39997558519241921"/>
      <name val="Aptos Narrow"/>
      <family val="2"/>
      <scheme val="minor"/>
    </font>
    <font>
      <sz val="12"/>
      <color theme="6" tint="0.3999755851924192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4"/>
      <color theme="3" tint="0.499984740745262"/>
      <name val="Aptos Narrow"/>
      <family val="2"/>
      <scheme val="minor"/>
    </font>
    <font>
      <sz val="14"/>
      <color theme="5" tint="0.39997558519241921"/>
      <name val="Aptos Narrow"/>
      <family val="2"/>
      <scheme val="minor"/>
    </font>
    <font>
      <sz val="14"/>
      <color theme="6" tint="0.39997558519241921"/>
      <name val="Aptos Narrow"/>
      <family val="2"/>
      <scheme val="minor"/>
    </font>
    <font>
      <sz val="14"/>
      <color theme="8" tint="0.39997558519241921"/>
      <name val="Aptos Narrow"/>
      <family val="2"/>
      <scheme val="minor"/>
    </font>
    <font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theme="3" tint="0.499984740745262"/>
      <name val="Helvetica"/>
      <family val="2"/>
    </font>
    <font>
      <sz val="10"/>
      <color theme="5" tint="0.39997558519241921"/>
      <name val="Helvetica"/>
      <family val="2"/>
    </font>
    <font>
      <sz val="10"/>
      <color theme="6" tint="0.39997558519241921"/>
      <name val="Helvetica"/>
      <family val="2"/>
    </font>
    <font>
      <sz val="10"/>
      <color theme="8" tint="0.39997558519241921"/>
      <name val="Helvetic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1" xfId="0" applyFont="1" applyBorder="1"/>
    <xf numFmtId="0" fontId="11" fillId="0" borderId="0" xfId="0" applyFont="1"/>
    <xf numFmtId="0" fontId="11" fillId="0" borderId="2" xfId="0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4" xfId="0" applyFont="1" applyBorder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7" fillId="0" borderId="0" xfId="0" applyFont="1"/>
    <xf numFmtId="0" fontId="1" fillId="0" borderId="0" xfId="0" applyFont="1"/>
    <xf numFmtId="0" fontId="28" fillId="0" borderId="0" xfId="0" applyFont="1"/>
    <xf numFmtId="0" fontId="28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1" fillId="0" borderId="10" xfId="0" applyFont="1" applyBorder="1" applyAlignment="1">
      <alignment horizontal="center"/>
    </xf>
    <xf numFmtId="14" fontId="11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CAA7-D1E5-3C4C-B383-C6D95C01C2E3}">
  <dimension ref="B1:G42"/>
  <sheetViews>
    <sheetView tabSelected="1" workbookViewId="0">
      <selection activeCell="B8" sqref="B8"/>
    </sheetView>
  </sheetViews>
  <sheetFormatPr defaultColWidth="10.875" defaultRowHeight="18.95"/>
  <cols>
    <col min="1" max="1" width="10.875" style="25"/>
    <col min="2" max="2" width="26.125" style="25" customWidth="1"/>
    <col min="3" max="3" width="20.875" style="25" customWidth="1"/>
    <col min="4" max="4" width="21.375" style="25" customWidth="1"/>
    <col min="5" max="6" width="10.875" style="25"/>
    <col min="7" max="7" width="18.625" style="25" customWidth="1"/>
    <col min="8" max="16384" width="10.875" style="25"/>
  </cols>
  <sheetData>
    <row r="1" spans="2:5" ht="20.100000000000001" thickBot="1"/>
    <row r="2" spans="2:5">
      <c r="B2" s="26" t="s">
        <v>0</v>
      </c>
      <c r="C2" s="64" t="s">
        <v>1</v>
      </c>
    </row>
    <row r="3" spans="2:5">
      <c r="B3" s="27" t="s">
        <v>2</v>
      </c>
      <c r="C3" s="65" t="s">
        <v>3</v>
      </c>
    </row>
    <row r="4" spans="2:5">
      <c r="B4" s="27" t="s">
        <v>4</v>
      </c>
      <c r="C4" s="28">
        <v>14</v>
      </c>
    </row>
    <row r="5" spans="2:5">
      <c r="B5" s="27" t="s">
        <v>5</v>
      </c>
      <c r="C5" s="28">
        <v>2</v>
      </c>
    </row>
    <row r="6" spans="2:5" ht="20.100000000000001" thickBot="1">
      <c r="B6" s="29" t="s">
        <v>6</v>
      </c>
      <c r="C6" s="30" t="s">
        <v>7</v>
      </c>
    </row>
    <row r="7" spans="2:5" ht="18.75"/>
    <row r="8" spans="2:5" ht="18.75">
      <c r="B8" s="35" t="s">
        <v>8</v>
      </c>
      <c r="C8" s="35" t="s">
        <v>9</v>
      </c>
      <c r="D8" s="45" t="s">
        <v>10</v>
      </c>
      <c r="E8" s="36" t="s">
        <v>11</v>
      </c>
    </row>
    <row r="9" spans="2:5" ht="18.75">
      <c r="B9" s="38">
        <v>10672</v>
      </c>
      <c r="C9" s="38">
        <v>10672</v>
      </c>
      <c r="D9" s="39" t="s">
        <v>12</v>
      </c>
      <c r="E9" s="46" t="s">
        <v>13</v>
      </c>
    </row>
    <row r="10" spans="2:5" ht="18.75">
      <c r="B10" s="40">
        <v>10673</v>
      </c>
      <c r="C10" s="40">
        <v>10673</v>
      </c>
      <c r="D10" s="37" t="s">
        <v>12</v>
      </c>
      <c r="E10" s="47" t="s">
        <v>13</v>
      </c>
    </row>
    <row r="11" spans="2:5" ht="18.75">
      <c r="B11" s="40">
        <v>10674</v>
      </c>
      <c r="C11" s="40">
        <v>10674</v>
      </c>
      <c r="D11" s="37" t="s">
        <v>12</v>
      </c>
      <c r="E11" s="47" t="s">
        <v>13</v>
      </c>
    </row>
    <row r="12" spans="2:5" ht="18.75">
      <c r="B12" s="40">
        <v>10675</v>
      </c>
      <c r="C12" s="40">
        <v>10675</v>
      </c>
      <c r="D12" s="37" t="s">
        <v>12</v>
      </c>
      <c r="E12" s="47" t="s">
        <v>13</v>
      </c>
    </row>
    <row r="13" spans="2:5" ht="18.75">
      <c r="B13" s="40">
        <v>10676</v>
      </c>
      <c r="C13" s="40">
        <v>10676</v>
      </c>
      <c r="D13" s="37" t="s">
        <v>12</v>
      </c>
      <c r="E13" s="47" t="s">
        <v>13</v>
      </c>
    </row>
    <row r="14" spans="2:5" ht="18.75">
      <c r="B14" s="40">
        <v>10677</v>
      </c>
      <c r="C14" s="40">
        <v>10677</v>
      </c>
      <c r="D14" s="37" t="s">
        <v>12</v>
      </c>
      <c r="E14" s="47" t="s">
        <v>13</v>
      </c>
    </row>
    <row r="15" spans="2:5" ht="18.75">
      <c r="B15" s="41">
        <v>10678</v>
      </c>
      <c r="C15" s="41">
        <v>10678</v>
      </c>
      <c r="D15" s="31" t="s">
        <v>14</v>
      </c>
      <c r="E15" s="48" t="s">
        <v>13</v>
      </c>
    </row>
    <row r="16" spans="2:5" ht="18.75">
      <c r="B16" s="41">
        <v>10679</v>
      </c>
      <c r="C16" s="41">
        <v>10679</v>
      </c>
      <c r="D16" s="31" t="s">
        <v>14</v>
      </c>
      <c r="E16" s="48" t="s">
        <v>13</v>
      </c>
    </row>
    <row r="17" spans="2:5" ht="18.75">
      <c r="B17" s="41">
        <v>10680</v>
      </c>
      <c r="C17" s="41">
        <v>10680</v>
      </c>
      <c r="D17" s="31" t="s">
        <v>14</v>
      </c>
      <c r="E17" s="48" t="s">
        <v>13</v>
      </c>
    </row>
    <row r="18" spans="2:5" ht="18.75">
      <c r="B18" s="41">
        <v>10681</v>
      </c>
      <c r="C18" s="41">
        <v>10681</v>
      </c>
      <c r="D18" s="31" t="s">
        <v>14</v>
      </c>
      <c r="E18" s="48" t="s">
        <v>13</v>
      </c>
    </row>
    <row r="19" spans="2:5" ht="18.75">
      <c r="B19" s="41">
        <v>10682</v>
      </c>
      <c r="C19" s="41">
        <v>10682</v>
      </c>
      <c r="D19" s="31" t="s">
        <v>14</v>
      </c>
      <c r="E19" s="48" t="s">
        <v>13</v>
      </c>
    </row>
    <row r="20" spans="2:5" ht="18.75">
      <c r="B20" s="41">
        <v>10683</v>
      </c>
      <c r="C20" s="41">
        <v>10683</v>
      </c>
      <c r="D20" s="31" t="s">
        <v>14</v>
      </c>
      <c r="E20" s="48" t="s">
        <v>13</v>
      </c>
    </row>
    <row r="21" spans="2:5" ht="18.75">
      <c r="B21" s="42">
        <v>10684</v>
      </c>
      <c r="C21" s="42">
        <v>10684</v>
      </c>
      <c r="D21" s="32" t="s">
        <v>15</v>
      </c>
      <c r="E21" s="49" t="s">
        <v>13</v>
      </c>
    </row>
    <row r="22" spans="2:5" ht="18.75">
      <c r="B22" s="42">
        <v>10685</v>
      </c>
      <c r="C22" s="42">
        <v>10685</v>
      </c>
      <c r="D22" s="32" t="s">
        <v>15</v>
      </c>
      <c r="E22" s="49" t="s">
        <v>13</v>
      </c>
    </row>
    <row r="23" spans="2:5" ht="18.75">
      <c r="B23" s="42">
        <v>10686</v>
      </c>
      <c r="C23" s="42">
        <v>10686</v>
      </c>
      <c r="D23" s="32" t="s">
        <v>15</v>
      </c>
      <c r="E23" s="49" t="s">
        <v>13</v>
      </c>
    </row>
    <row r="24" spans="2:5" ht="18.75">
      <c r="B24" s="42">
        <v>10687</v>
      </c>
      <c r="C24" s="42">
        <v>10687</v>
      </c>
      <c r="D24" s="32" t="s">
        <v>15</v>
      </c>
      <c r="E24" s="49" t="s">
        <v>13</v>
      </c>
    </row>
    <row r="25" spans="2:5" ht="18.75">
      <c r="B25" s="42">
        <v>10688</v>
      </c>
      <c r="C25" s="42">
        <v>10688</v>
      </c>
      <c r="D25" s="32" t="s">
        <v>15</v>
      </c>
      <c r="E25" s="49" t="s">
        <v>13</v>
      </c>
    </row>
    <row r="26" spans="2:5" ht="18.75">
      <c r="B26" s="42">
        <v>10689</v>
      </c>
      <c r="C26" s="42">
        <v>10689</v>
      </c>
      <c r="D26" s="32" t="s">
        <v>15</v>
      </c>
      <c r="E26" s="49" t="s">
        <v>13</v>
      </c>
    </row>
    <row r="27" spans="2:5" ht="18.75">
      <c r="B27" s="43">
        <v>10690</v>
      </c>
      <c r="C27" s="43">
        <v>10690</v>
      </c>
      <c r="D27" s="33" t="s">
        <v>16</v>
      </c>
      <c r="E27" s="50" t="s">
        <v>13</v>
      </c>
    </row>
    <row r="28" spans="2:5" ht="18.75">
      <c r="B28" s="43">
        <v>10691</v>
      </c>
      <c r="C28" s="43">
        <v>10691</v>
      </c>
      <c r="D28" s="33" t="s">
        <v>16</v>
      </c>
      <c r="E28" s="50" t="s">
        <v>13</v>
      </c>
    </row>
    <row r="29" spans="2:5" ht="18.75">
      <c r="B29" s="43">
        <v>10692</v>
      </c>
      <c r="C29" s="43">
        <v>10692</v>
      </c>
      <c r="D29" s="33" t="s">
        <v>16</v>
      </c>
      <c r="E29" s="50" t="s">
        <v>13</v>
      </c>
    </row>
    <row r="30" spans="2:5" ht="18.75">
      <c r="B30" s="43">
        <v>10693</v>
      </c>
      <c r="C30" s="43">
        <v>10693</v>
      </c>
      <c r="D30" s="33" t="s">
        <v>16</v>
      </c>
      <c r="E30" s="50" t="s">
        <v>13</v>
      </c>
    </row>
    <row r="31" spans="2:5" ht="18.75">
      <c r="B31" s="43">
        <v>10694</v>
      </c>
      <c r="C31" s="43">
        <v>10694</v>
      </c>
      <c r="D31" s="33" t="s">
        <v>16</v>
      </c>
      <c r="E31" s="50" t="s">
        <v>13</v>
      </c>
    </row>
    <row r="32" spans="2:5" ht="18.75">
      <c r="B32" s="44">
        <v>10695</v>
      </c>
      <c r="C32" s="44">
        <v>10695</v>
      </c>
      <c r="D32" s="34" t="s">
        <v>16</v>
      </c>
      <c r="E32" s="51" t="s">
        <v>13</v>
      </c>
    </row>
    <row r="33" spans="2:7" ht="18.75"/>
    <row r="34" spans="2:7">
      <c r="B34" s="12" t="s">
        <v>17</v>
      </c>
      <c r="C34" s="13"/>
      <c r="D34" s="14"/>
    </row>
    <row r="35" spans="2:7">
      <c r="B35" s="15" t="s">
        <v>18</v>
      </c>
      <c r="C35" s="16"/>
      <c r="D35" s="17"/>
    </row>
    <row r="36" spans="2:7">
      <c r="B36" s="15" t="s">
        <v>19</v>
      </c>
      <c r="C36" s="16"/>
      <c r="D36" s="17"/>
    </row>
    <row r="37" spans="2:7" ht="20.100000000000001" thickBot="1">
      <c r="B37" s="18" t="s">
        <v>20</v>
      </c>
      <c r="C37" s="19"/>
      <c r="D37" s="20"/>
    </row>
    <row r="38" spans="2:7" ht="20.100000000000001" thickBot="1"/>
    <row r="39" spans="2:7">
      <c r="B39" s="12" t="s">
        <v>21</v>
      </c>
      <c r="C39" s="13"/>
      <c r="D39" s="13"/>
      <c r="E39" s="13"/>
      <c r="F39" s="13"/>
      <c r="G39" s="14"/>
    </row>
    <row r="40" spans="2:7">
      <c r="B40" s="15" t="s">
        <v>22</v>
      </c>
      <c r="C40" s="16"/>
      <c r="D40" s="16"/>
      <c r="E40" s="16"/>
      <c r="F40" s="16"/>
      <c r="G40" s="17"/>
    </row>
    <row r="41" spans="2:7">
      <c r="B41" s="15" t="s">
        <v>23</v>
      </c>
      <c r="C41" s="16"/>
      <c r="D41" s="16"/>
      <c r="E41" s="16"/>
      <c r="F41" s="16"/>
      <c r="G41" s="17"/>
    </row>
    <row r="42" spans="2:7" ht="20.100000000000001" thickBot="1">
      <c r="B42" s="18" t="s">
        <v>24</v>
      </c>
      <c r="C42" s="19"/>
      <c r="D42" s="19"/>
      <c r="E42" s="19"/>
      <c r="F42" s="19"/>
      <c r="G4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E692C-840F-9B45-973F-81A06266954D}">
  <dimension ref="B1:D14"/>
  <sheetViews>
    <sheetView workbookViewId="0">
      <selection activeCell="C21" sqref="C21"/>
    </sheetView>
  </sheetViews>
  <sheetFormatPr defaultColWidth="10.875" defaultRowHeight="15.95"/>
  <cols>
    <col min="1" max="1" width="10.875" style="53"/>
    <col min="2" max="2" width="29" style="53" customWidth="1"/>
    <col min="3" max="3" width="34.375" style="53" customWidth="1"/>
    <col min="4" max="4" width="99.625" style="53" customWidth="1"/>
    <col min="5" max="16384" width="10.875" style="53"/>
  </cols>
  <sheetData>
    <row r="1" spans="2:4" ht="21">
      <c r="B1" s="52" t="s">
        <v>25</v>
      </c>
    </row>
    <row r="2" spans="2:4">
      <c r="B2" s="54" t="s">
        <v>26</v>
      </c>
      <c r="C2" s="54" t="s">
        <v>27</v>
      </c>
      <c r="D2" s="54" t="s">
        <v>28</v>
      </c>
    </row>
    <row r="3" spans="2:4">
      <c r="B3" s="53" t="s">
        <v>29</v>
      </c>
      <c r="C3" s="53" t="s">
        <v>30</v>
      </c>
      <c r="D3" s="53" t="s">
        <v>31</v>
      </c>
    </row>
    <row r="4" spans="2:4">
      <c r="B4" s="53" t="s">
        <v>32</v>
      </c>
      <c r="C4" s="53" t="s">
        <v>33</v>
      </c>
      <c r="D4" s="53" t="s">
        <v>34</v>
      </c>
    </row>
    <row r="5" spans="2:4">
      <c r="C5" s="53" t="s">
        <v>35</v>
      </c>
      <c r="D5" s="53" t="s">
        <v>36</v>
      </c>
    </row>
    <row r="6" spans="2:4">
      <c r="C6" s="53" t="s">
        <v>37</v>
      </c>
      <c r="D6" s="53" t="s">
        <v>38</v>
      </c>
    </row>
    <row r="7" spans="2:4">
      <c r="C7" s="53" t="s">
        <v>39</v>
      </c>
      <c r="D7" s="53" t="s">
        <v>40</v>
      </c>
    </row>
    <row r="8" spans="2:4">
      <c r="C8" s="53" t="s">
        <v>41</v>
      </c>
      <c r="D8" s="53" t="s">
        <v>42</v>
      </c>
    </row>
    <row r="9" spans="2:4">
      <c r="C9" s="53" t="s">
        <v>43</v>
      </c>
      <c r="D9" s="53" t="s">
        <v>44</v>
      </c>
    </row>
    <row r="11" spans="2:4" ht="21">
      <c r="B11" s="52" t="s">
        <v>45</v>
      </c>
    </row>
    <row r="12" spans="2:4">
      <c r="B12" s="54" t="s">
        <v>46</v>
      </c>
      <c r="C12" s="54" t="s">
        <v>28</v>
      </c>
    </row>
    <row r="13" spans="2:4">
      <c r="B13" s="53" t="s">
        <v>47</v>
      </c>
      <c r="C13" s="53" t="s">
        <v>48</v>
      </c>
    </row>
    <row r="14" spans="2:4">
      <c r="B14" s="53" t="s">
        <v>49</v>
      </c>
      <c r="C14" s="5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AA16-B5FD-8A45-80EF-FAC8BD5024AA}">
  <dimension ref="A1:AK41"/>
  <sheetViews>
    <sheetView workbookViewId="0">
      <selection activeCell="F2" sqref="F2"/>
    </sheetView>
  </sheetViews>
  <sheetFormatPr defaultColWidth="11" defaultRowHeight="15.95"/>
  <cols>
    <col min="1" max="1" width="10.875" style="5"/>
    <col min="2" max="2" width="21.875" style="5" customWidth="1"/>
    <col min="3" max="3" width="10.875" style="5"/>
    <col min="4" max="8" width="12.5" style="5" customWidth="1"/>
    <col min="9" max="9" width="14.625" style="5" customWidth="1"/>
    <col min="10" max="17" width="10.875" style="5"/>
    <col min="18" max="18" width="10.875" style="53"/>
    <col min="19" max="19" width="12.125" style="53" customWidth="1"/>
    <col min="29" max="30" width="10.875" style="5"/>
    <col min="31" max="31" width="10.875" style="53"/>
    <col min="32" max="242" width="10.875" style="5"/>
    <col min="243" max="243" width="21.875" style="5" customWidth="1"/>
    <col min="244" max="244" width="10.875" style="5"/>
    <col min="245" max="245" width="12.5" style="5" customWidth="1"/>
    <col min="246" max="246" width="14.625" style="5" customWidth="1"/>
    <col min="247" max="252" width="10.875" style="5"/>
    <col min="253" max="253" width="14.625" style="5" customWidth="1"/>
    <col min="254" max="261" width="10.875" style="5"/>
    <col min="262" max="262" width="13.125" style="5" customWidth="1"/>
    <col min="263" max="498" width="10.875" style="5"/>
    <col min="499" max="499" width="21.875" style="5" customWidth="1"/>
    <col min="500" max="500" width="10.875" style="5"/>
    <col min="501" max="501" width="12.5" style="5" customWidth="1"/>
    <col min="502" max="502" width="14.625" style="5" customWidth="1"/>
    <col min="503" max="508" width="10.875" style="5"/>
    <col min="509" max="509" width="14.625" style="5" customWidth="1"/>
    <col min="510" max="517" width="10.875" style="5"/>
    <col min="518" max="518" width="13.125" style="5" customWidth="1"/>
    <col min="519" max="754" width="10.875" style="5"/>
    <col min="755" max="755" width="21.875" style="5" customWidth="1"/>
    <col min="756" max="756" width="10.875" style="5"/>
    <col min="757" max="757" width="12.5" style="5" customWidth="1"/>
    <col min="758" max="758" width="14.625" style="5" customWidth="1"/>
    <col min="759" max="764" width="10.875" style="5"/>
    <col min="765" max="765" width="14.625" style="5" customWidth="1"/>
    <col min="766" max="773" width="10.875" style="5"/>
    <col min="774" max="774" width="13.125" style="5" customWidth="1"/>
    <col min="775" max="1010" width="10.875" style="5"/>
    <col min="1011" max="1011" width="21.875" style="5" customWidth="1"/>
    <col min="1012" max="1012" width="10.875" style="5"/>
    <col min="1013" max="1013" width="12.5" style="5" customWidth="1"/>
    <col min="1014" max="1014" width="14.625" style="5" customWidth="1"/>
    <col min="1015" max="1020" width="10.875" style="5"/>
    <col min="1021" max="1021" width="14.625" style="5" customWidth="1"/>
    <col min="1022" max="1029" width="10.875" style="5"/>
    <col min="1030" max="1030" width="13.125" style="5" customWidth="1"/>
    <col min="1031" max="1266" width="10.875" style="5"/>
    <col min="1267" max="1267" width="21.875" style="5" customWidth="1"/>
    <col min="1268" max="1268" width="10.875" style="5"/>
    <col min="1269" max="1269" width="12.5" style="5" customWidth="1"/>
    <col min="1270" max="1270" width="14.625" style="5" customWidth="1"/>
    <col min="1271" max="1276" width="10.875" style="5"/>
    <col min="1277" max="1277" width="14.625" style="5" customWidth="1"/>
    <col min="1278" max="1285" width="10.875" style="5"/>
    <col min="1286" max="1286" width="13.125" style="5" customWidth="1"/>
    <col min="1287" max="1522" width="10.875" style="5"/>
    <col min="1523" max="1523" width="21.875" style="5" customWidth="1"/>
    <col min="1524" max="1524" width="10.875" style="5"/>
    <col min="1525" max="1525" width="12.5" style="5" customWidth="1"/>
    <col min="1526" max="1526" width="14.625" style="5" customWidth="1"/>
    <col min="1527" max="1532" width="10.875" style="5"/>
    <col min="1533" max="1533" width="14.625" style="5" customWidth="1"/>
    <col min="1534" max="1541" width="10.875" style="5"/>
    <col min="1542" max="1542" width="13.125" style="5" customWidth="1"/>
    <col min="1543" max="1778" width="10.875" style="5"/>
    <col min="1779" max="1779" width="21.875" style="5" customWidth="1"/>
    <col min="1780" max="1780" width="10.875" style="5"/>
    <col min="1781" max="1781" width="12.5" style="5" customWidth="1"/>
    <col min="1782" max="1782" width="14.625" style="5" customWidth="1"/>
    <col min="1783" max="1788" width="10.875" style="5"/>
    <col min="1789" max="1789" width="14.625" style="5" customWidth="1"/>
    <col min="1790" max="1797" width="10.875" style="5"/>
    <col min="1798" max="1798" width="13.125" style="5" customWidth="1"/>
    <col min="1799" max="2034" width="10.875" style="5"/>
    <col min="2035" max="2035" width="21.875" style="5" customWidth="1"/>
    <col min="2036" max="2036" width="10.875" style="5"/>
    <col min="2037" max="2037" width="12.5" style="5" customWidth="1"/>
    <col min="2038" max="2038" width="14.625" style="5" customWidth="1"/>
    <col min="2039" max="2044" width="10.875" style="5"/>
    <col min="2045" max="2045" width="14.625" style="5" customWidth="1"/>
    <col min="2046" max="2053" width="10.875" style="5"/>
    <col min="2054" max="2054" width="13.125" style="5" customWidth="1"/>
    <col min="2055" max="2290" width="10.875" style="5"/>
    <col min="2291" max="2291" width="21.875" style="5" customWidth="1"/>
    <col min="2292" max="2292" width="10.875" style="5"/>
    <col min="2293" max="2293" width="12.5" style="5" customWidth="1"/>
    <col min="2294" max="2294" width="14.625" style="5" customWidth="1"/>
    <col min="2295" max="2300" width="10.875" style="5"/>
    <col min="2301" max="2301" width="14.625" style="5" customWidth="1"/>
    <col min="2302" max="2309" width="10.875" style="5"/>
    <col min="2310" max="2310" width="13.125" style="5" customWidth="1"/>
    <col min="2311" max="2546" width="10.875" style="5"/>
    <col min="2547" max="2547" width="21.875" style="5" customWidth="1"/>
    <col min="2548" max="2548" width="10.875" style="5"/>
    <col min="2549" max="2549" width="12.5" style="5" customWidth="1"/>
    <col min="2550" max="2550" width="14.625" style="5" customWidth="1"/>
    <col min="2551" max="2556" width="10.875" style="5"/>
    <col min="2557" max="2557" width="14.625" style="5" customWidth="1"/>
    <col min="2558" max="2565" width="10.875" style="5"/>
    <col min="2566" max="2566" width="13.125" style="5" customWidth="1"/>
    <col min="2567" max="2802" width="10.875" style="5"/>
    <col min="2803" max="2803" width="21.875" style="5" customWidth="1"/>
    <col min="2804" max="2804" width="10.875" style="5"/>
    <col min="2805" max="2805" width="12.5" style="5" customWidth="1"/>
    <col min="2806" max="2806" width="14.625" style="5" customWidth="1"/>
    <col min="2807" max="2812" width="10.875" style="5"/>
    <col min="2813" max="2813" width="14.625" style="5" customWidth="1"/>
    <col min="2814" max="2821" width="10.875" style="5"/>
    <col min="2822" max="2822" width="13.125" style="5" customWidth="1"/>
    <col min="2823" max="3058" width="10.875" style="5"/>
    <col min="3059" max="3059" width="21.875" style="5" customWidth="1"/>
    <col min="3060" max="3060" width="10.875" style="5"/>
    <col min="3061" max="3061" width="12.5" style="5" customWidth="1"/>
    <col min="3062" max="3062" width="14.625" style="5" customWidth="1"/>
    <col min="3063" max="3068" width="10.875" style="5"/>
    <col min="3069" max="3069" width="14.625" style="5" customWidth="1"/>
    <col min="3070" max="3077" width="10.875" style="5"/>
    <col min="3078" max="3078" width="13.125" style="5" customWidth="1"/>
    <col min="3079" max="3314" width="10.875" style="5"/>
    <col min="3315" max="3315" width="21.875" style="5" customWidth="1"/>
    <col min="3316" max="3316" width="10.875" style="5"/>
    <col min="3317" max="3317" width="12.5" style="5" customWidth="1"/>
    <col min="3318" max="3318" width="14.625" style="5" customWidth="1"/>
    <col min="3319" max="3324" width="10.875" style="5"/>
    <col min="3325" max="3325" width="14.625" style="5" customWidth="1"/>
    <col min="3326" max="3333" width="10.875" style="5"/>
    <col min="3334" max="3334" width="13.125" style="5" customWidth="1"/>
    <col min="3335" max="3570" width="10.875" style="5"/>
    <col min="3571" max="3571" width="21.875" style="5" customWidth="1"/>
    <col min="3572" max="3572" width="10.875" style="5"/>
    <col min="3573" max="3573" width="12.5" style="5" customWidth="1"/>
    <col min="3574" max="3574" width="14.625" style="5" customWidth="1"/>
    <col min="3575" max="3580" width="10.875" style="5"/>
    <col min="3581" max="3581" width="14.625" style="5" customWidth="1"/>
    <col min="3582" max="3589" width="10.875" style="5"/>
    <col min="3590" max="3590" width="13.125" style="5" customWidth="1"/>
    <col min="3591" max="3826" width="10.875" style="5"/>
    <col min="3827" max="3827" width="21.875" style="5" customWidth="1"/>
    <col min="3828" max="3828" width="10.875" style="5"/>
    <col min="3829" max="3829" width="12.5" style="5" customWidth="1"/>
    <col min="3830" max="3830" width="14.625" style="5" customWidth="1"/>
    <col min="3831" max="3836" width="10.875" style="5"/>
    <col min="3837" max="3837" width="14.625" style="5" customWidth="1"/>
    <col min="3838" max="3845" width="10.875" style="5"/>
    <col min="3846" max="3846" width="13.125" style="5" customWidth="1"/>
    <col min="3847" max="4082" width="10.875" style="5"/>
    <col min="4083" max="4083" width="21.875" style="5" customWidth="1"/>
    <col min="4084" max="4084" width="10.875" style="5"/>
    <col min="4085" max="4085" width="12.5" style="5" customWidth="1"/>
    <col min="4086" max="4086" width="14.625" style="5" customWidth="1"/>
    <col min="4087" max="4092" width="10.875" style="5"/>
    <col min="4093" max="4093" width="14.625" style="5" customWidth="1"/>
    <col min="4094" max="4101" width="10.875" style="5"/>
    <col min="4102" max="4102" width="13.125" style="5" customWidth="1"/>
    <col min="4103" max="4338" width="10.875" style="5"/>
    <col min="4339" max="4339" width="21.875" style="5" customWidth="1"/>
    <col min="4340" max="4340" width="10.875" style="5"/>
    <col min="4341" max="4341" width="12.5" style="5" customWidth="1"/>
    <col min="4342" max="4342" width="14.625" style="5" customWidth="1"/>
    <col min="4343" max="4348" width="10.875" style="5"/>
    <col min="4349" max="4349" width="14.625" style="5" customWidth="1"/>
    <col min="4350" max="4357" width="10.875" style="5"/>
    <col min="4358" max="4358" width="13.125" style="5" customWidth="1"/>
    <col min="4359" max="4594" width="10.875" style="5"/>
    <col min="4595" max="4595" width="21.875" style="5" customWidth="1"/>
    <col min="4596" max="4596" width="10.875" style="5"/>
    <col min="4597" max="4597" width="12.5" style="5" customWidth="1"/>
    <col min="4598" max="4598" width="14.625" style="5" customWidth="1"/>
    <col min="4599" max="4604" width="10.875" style="5"/>
    <col min="4605" max="4605" width="14.625" style="5" customWidth="1"/>
    <col min="4606" max="4613" width="10.875" style="5"/>
    <col min="4614" max="4614" width="13.125" style="5" customWidth="1"/>
    <col min="4615" max="4850" width="10.875" style="5"/>
    <col min="4851" max="4851" width="21.875" style="5" customWidth="1"/>
    <col min="4852" max="4852" width="10.875" style="5"/>
    <col min="4853" max="4853" width="12.5" style="5" customWidth="1"/>
    <col min="4854" max="4854" width="14.625" style="5" customWidth="1"/>
    <col min="4855" max="4860" width="10.875" style="5"/>
    <col min="4861" max="4861" width="14.625" style="5" customWidth="1"/>
    <col min="4862" max="4869" width="10.875" style="5"/>
    <col min="4870" max="4870" width="13.125" style="5" customWidth="1"/>
    <col min="4871" max="5106" width="10.875" style="5"/>
    <col min="5107" max="5107" width="21.875" style="5" customWidth="1"/>
    <col min="5108" max="5108" width="10.875" style="5"/>
    <col min="5109" max="5109" width="12.5" style="5" customWidth="1"/>
    <col min="5110" max="5110" width="14.625" style="5" customWidth="1"/>
    <col min="5111" max="5116" width="10.875" style="5"/>
    <col min="5117" max="5117" width="14.625" style="5" customWidth="1"/>
    <col min="5118" max="5125" width="10.875" style="5"/>
    <col min="5126" max="5126" width="13.125" style="5" customWidth="1"/>
    <col min="5127" max="5362" width="10.875" style="5"/>
    <col min="5363" max="5363" width="21.875" style="5" customWidth="1"/>
    <col min="5364" max="5364" width="10.875" style="5"/>
    <col min="5365" max="5365" width="12.5" style="5" customWidth="1"/>
    <col min="5366" max="5366" width="14.625" style="5" customWidth="1"/>
    <col min="5367" max="5372" width="10.875" style="5"/>
    <col min="5373" max="5373" width="14.625" style="5" customWidth="1"/>
    <col min="5374" max="5381" width="10.875" style="5"/>
    <col min="5382" max="5382" width="13.125" style="5" customWidth="1"/>
    <col min="5383" max="5618" width="10.875" style="5"/>
    <col min="5619" max="5619" width="21.875" style="5" customWidth="1"/>
    <col min="5620" max="5620" width="10.875" style="5"/>
    <col min="5621" max="5621" width="12.5" style="5" customWidth="1"/>
    <col min="5622" max="5622" width="14.625" style="5" customWidth="1"/>
    <col min="5623" max="5628" width="10.875" style="5"/>
    <col min="5629" max="5629" width="14.625" style="5" customWidth="1"/>
    <col min="5630" max="5637" width="10.875" style="5"/>
    <col min="5638" max="5638" width="13.125" style="5" customWidth="1"/>
    <col min="5639" max="5874" width="10.875" style="5"/>
    <col min="5875" max="5875" width="21.875" style="5" customWidth="1"/>
    <col min="5876" max="5876" width="10.875" style="5"/>
    <col min="5877" max="5877" width="12.5" style="5" customWidth="1"/>
    <col min="5878" max="5878" width="14.625" style="5" customWidth="1"/>
    <col min="5879" max="5884" width="10.875" style="5"/>
    <col min="5885" max="5885" width="14.625" style="5" customWidth="1"/>
    <col min="5886" max="5893" width="10.875" style="5"/>
    <col min="5894" max="5894" width="13.125" style="5" customWidth="1"/>
    <col min="5895" max="6130" width="10.875" style="5"/>
    <col min="6131" max="6131" width="21.875" style="5" customWidth="1"/>
    <col min="6132" max="6132" width="10.875" style="5"/>
    <col min="6133" max="6133" width="12.5" style="5" customWidth="1"/>
    <col min="6134" max="6134" width="14.625" style="5" customWidth="1"/>
    <col min="6135" max="6140" width="10.875" style="5"/>
    <col min="6141" max="6141" width="14.625" style="5" customWidth="1"/>
    <col min="6142" max="6149" width="10.875" style="5"/>
    <col min="6150" max="6150" width="13.125" style="5" customWidth="1"/>
    <col min="6151" max="6386" width="10.875" style="5"/>
    <col min="6387" max="6387" width="21.875" style="5" customWidth="1"/>
    <col min="6388" max="6388" width="10.875" style="5"/>
    <col min="6389" max="6389" width="12.5" style="5" customWidth="1"/>
    <col min="6390" max="6390" width="14.625" style="5" customWidth="1"/>
    <col min="6391" max="6396" width="10.875" style="5"/>
    <col min="6397" max="6397" width="14.625" style="5" customWidth="1"/>
    <col min="6398" max="6405" width="10.875" style="5"/>
    <col min="6406" max="6406" width="13.125" style="5" customWidth="1"/>
    <col min="6407" max="6642" width="10.875" style="5"/>
    <col min="6643" max="6643" width="21.875" style="5" customWidth="1"/>
    <col min="6644" max="6644" width="10.875" style="5"/>
    <col min="6645" max="6645" width="12.5" style="5" customWidth="1"/>
    <col min="6646" max="6646" width="14.625" style="5" customWidth="1"/>
    <col min="6647" max="6652" width="10.875" style="5"/>
    <col min="6653" max="6653" width="14.625" style="5" customWidth="1"/>
    <col min="6654" max="6661" width="10.875" style="5"/>
    <col min="6662" max="6662" width="13.125" style="5" customWidth="1"/>
    <col min="6663" max="6898" width="10.875" style="5"/>
    <col min="6899" max="6899" width="21.875" style="5" customWidth="1"/>
    <col min="6900" max="6900" width="10.875" style="5"/>
    <col min="6901" max="6901" width="12.5" style="5" customWidth="1"/>
    <col min="6902" max="6902" width="14.625" style="5" customWidth="1"/>
    <col min="6903" max="6908" width="10.875" style="5"/>
    <col min="6909" max="6909" width="14.625" style="5" customWidth="1"/>
    <col min="6910" max="6917" width="10.875" style="5"/>
    <col min="6918" max="6918" width="13.125" style="5" customWidth="1"/>
    <col min="6919" max="7154" width="10.875" style="5"/>
    <col min="7155" max="7155" width="21.875" style="5" customWidth="1"/>
    <col min="7156" max="7156" width="10.875" style="5"/>
    <col min="7157" max="7157" width="12.5" style="5" customWidth="1"/>
    <col min="7158" max="7158" width="14.625" style="5" customWidth="1"/>
    <col min="7159" max="7164" width="10.875" style="5"/>
    <col min="7165" max="7165" width="14.625" style="5" customWidth="1"/>
    <col min="7166" max="7173" width="10.875" style="5"/>
    <col min="7174" max="7174" width="13.125" style="5" customWidth="1"/>
    <col min="7175" max="7410" width="10.875" style="5"/>
    <col min="7411" max="7411" width="21.875" style="5" customWidth="1"/>
    <col min="7412" max="7412" width="10.875" style="5"/>
    <col min="7413" max="7413" width="12.5" style="5" customWidth="1"/>
    <col min="7414" max="7414" width="14.625" style="5" customWidth="1"/>
    <col min="7415" max="7420" width="10.875" style="5"/>
    <col min="7421" max="7421" width="14.625" style="5" customWidth="1"/>
    <col min="7422" max="7429" width="10.875" style="5"/>
    <col min="7430" max="7430" width="13.125" style="5" customWidth="1"/>
    <col min="7431" max="7666" width="10.875" style="5"/>
    <col min="7667" max="7667" width="21.875" style="5" customWidth="1"/>
    <col min="7668" max="7668" width="10.875" style="5"/>
    <col min="7669" max="7669" width="12.5" style="5" customWidth="1"/>
    <col min="7670" max="7670" width="14.625" style="5" customWidth="1"/>
    <col min="7671" max="7676" width="10.875" style="5"/>
    <col min="7677" max="7677" width="14.625" style="5" customWidth="1"/>
    <col min="7678" max="7685" width="10.875" style="5"/>
    <col min="7686" max="7686" width="13.125" style="5" customWidth="1"/>
    <col min="7687" max="7922" width="10.875" style="5"/>
    <col min="7923" max="7923" width="21.875" style="5" customWidth="1"/>
    <col min="7924" max="7924" width="10.875" style="5"/>
    <col min="7925" max="7925" width="12.5" style="5" customWidth="1"/>
    <col min="7926" max="7926" width="14.625" style="5" customWidth="1"/>
    <col min="7927" max="7932" width="10.875" style="5"/>
    <col min="7933" max="7933" width="14.625" style="5" customWidth="1"/>
    <col min="7934" max="7941" width="10.875" style="5"/>
    <col min="7942" max="7942" width="13.125" style="5" customWidth="1"/>
    <col min="7943" max="8178" width="10.875" style="5"/>
    <col min="8179" max="8179" width="21.875" style="5" customWidth="1"/>
    <col min="8180" max="8180" width="10.875" style="5"/>
    <col min="8181" max="8181" width="12.5" style="5" customWidth="1"/>
    <col min="8182" max="8182" width="14.625" style="5" customWidth="1"/>
    <col min="8183" max="8188" width="10.875" style="5"/>
    <col min="8189" max="8189" width="14.625" style="5" customWidth="1"/>
    <col min="8190" max="8197" width="10.875" style="5"/>
    <col min="8198" max="8198" width="13.125" style="5" customWidth="1"/>
    <col min="8199" max="8434" width="10.875" style="5"/>
    <col min="8435" max="8435" width="21.875" style="5" customWidth="1"/>
    <col min="8436" max="8436" width="10.875" style="5"/>
    <col min="8437" max="8437" width="12.5" style="5" customWidth="1"/>
    <col min="8438" max="8438" width="14.625" style="5" customWidth="1"/>
    <col min="8439" max="8444" width="10.875" style="5"/>
    <col min="8445" max="8445" width="14.625" style="5" customWidth="1"/>
    <col min="8446" max="8453" width="10.875" style="5"/>
    <col min="8454" max="8454" width="13.125" style="5" customWidth="1"/>
    <col min="8455" max="8690" width="10.875" style="5"/>
    <col min="8691" max="8691" width="21.875" style="5" customWidth="1"/>
    <col min="8692" max="8692" width="10.875" style="5"/>
    <col min="8693" max="8693" width="12.5" style="5" customWidth="1"/>
    <col min="8694" max="8694" width="14.625" style="5" customWidth="1"/>
    <col min="8695" max="8700" width="10.875" style="5"/>
    <col min="8701" max="8701" width="14.625" style="5" customWidth="1"/>
    <col min="8702" max="8709" width="10.875" style="5"/>
    <col min="8710" max="8710" width="13.125" style="5" customWidth="1"/>
    <col min="8711" max="8946" width="10.875" style="5"/>
    <col min="8947" max="8947" width="21.875" style="5" customWidth="1"/>
    <col min="8948" max="8948" width="10.875" style="5"/>
    <col min="8949" max="8949" width="12.5" style="5" customWidth="1"/>
    <col min="8950" max="8950" width="14.625" style="5" customWidth="1"/>
    <col min="8951" max="8956" width="10.875" style="5"/>
    <col min="8957" max="8957" width="14.625" style="5" customWidth="1"/>
    <col min="8958" max="8965" width="10.875" style="5"/>
    <col min="8966" max="8966" width="13.125" style="5" customWidth="1"/>
    <col min="8967" max="9202" width="10.875" style="5"/>
    <col min="9203" max="9203" width="21.875" style="5" customWidth="1"/>
    <col min="9204" max="9204" width="10.875" style="5"/>
    <col min="9205" max="9205" width="12.5" style="5" customWidth="1"/>
    <col min="9206" max="9206" width="14.625" style="5" customWidth="1"/>
    <col min="9207" max="9212" width="10.875" style="5"/>
    <col min="9213" max="9213" width="14.625" style="5" customWidth="1"/>
    <col min="9214" max="9221" width="10.875" style="5"/>
    <col min="9222" max="9222" width="13.125" style="5" customWidth="1"/>
    <col min="9223" max="9458" width="10.875" style="5"/>
    <col min="9459" max="9459" width="21.875" style="5" customWidth="1"/>
    <col min="9460" max="9460" width="10.875" style="5"/>
    <col min="9461" max="9461" width="12.5" style="5" customWidth="1"/>
    <col min="9462" max="9462" width="14.625" style="5" customWidth="1"/>
    <col min="9463" max="9468" width="10.875" style="5"/>
    <col min="9469" max="9469" width="14.625" style="5" customWidth="1"/>
    <col min="9470" max="9477" width="10.875" style="5"/>
    <col min="9478" max="9478" width="13.125" style="5" customWidth="1"/>
    <col min="9479" max="9714" width="10.875" style="5"/>
    <col min="9715" max="9715" width="21.875" style="5" customWidth="1"/>
    <col min="9716" max="9716" width="10.875" style="5"/>
    <col min="9717" max="9717" width="12.5" style="5" customWidth="1"/>
    <col min="9718" max="9718" width="14.625" style="5" customWidth="1"/>
    <col min="9719" max="9724" width="10.875" style="5"/>
    <col min="9725" max="9725" width="14.625" style="5" customWidth="1"/>
    <col min="9726" max="9733" width="10.875" style="5"/>
    <col min="9734" max="9734" width="13.125" style="5" customWidth="1"/>
    <col min="9735" max="9970" width="10.875" style="5"/>
    <col min="9971" max="9971" width="21.875" style="5" customWidth="1"/>
    <col min="9972" max="9972" width="10.875" style="5"/>
    <col min="9973" max="9973" width="12.5" style="5" customWidth="1"/>
    <col min="9974" max="9974" width="14.625" style="5" customWidth="1"/>
    <col min="9975" max="9980" width="10.875" style="5"/>
    <col min="9981" max="9981" width="14.625" style="5" customWidth="1"/>
    <col min="9982" max="9989" width="10.875" style="5"/>
    <col min="9990" max="9990" width="13.125" style="5" customWidth="1"/>
    <col min="9991" max="10226" width="10.875" style="5"/>
    <col min="10227" max="10227" width="21.875" style="5" customWidth="1"/>
    <col min="10228" max="10228" width="10.875" style="5"/>
    <col min="10229" max="10229" width="12.5" style="5" customWidth="1"/>
    <col min="10230" max="10230" width="14.625" style="5" customWidth="1"/>
    <col min="10231" max="10236" width="10.875" style="5"/>
    <col min="10237" max="10237" width="14.625" style="5" customWidth="1"/>
    <col min="10238" max="10245" width="10.875" style="5"/>
    <col min="10246" max="10246" width="13.125" style="5" customWidth="1"/>
    <col min="10247" max="10482" width="10.875" style="5"/>
    <col min="10483" max="10483" width="21.875" style="5" customWidth="1"/>
    <col min="10484" max="10484" width="10.875" style="5"/>
    <col min="10485" max="10485" width="12.5" style="5" customWidth="1"/>
    <col min="10486" max="10486" width="14.625" style="5" customWidth="1"/>
    <col min="10487" max="10492" width="10.875" style="5"/>
    <col min="10493" max="10493" width="14.625" style="5" customWidth="1"/>
    <col min="10494" max="10501" width="10.875" style="5"/>
    <col min="10502" max="10502" width="13.125" style="5" customWidth="1"/>
    <col min="10503" max="10738" width="10.875" style="5"/>
    <col min="10739" max="10739" width="21.875" style="5" customWidth="1"/>
    <col min="10740" max="10740" width="10.875" style="5"/>
    <col min="10741" max="10741" width="12.5" style="5" customWidth="1"/>
    <col min="10742" max="10742" width="14.625" style="5" customWidth="1"/>
    <col min="10743" max="10748" width="10.875" style="5"/>
    <col min="10749" max="10749" width="14.625" style="5" customWidth="1"/>
    <col min="10750" max="10757" width="10.875" style="5"/>
    <col min="10758" max="10758" width="13.125" style="5" customWidth="1"/>
    <col min="10759" max="10994" width="10.875" style="5"/>
    <col min="10995" max="10995" width="21.875" style="5" customWidth="1"/>
    <col min="10996" max="10996" width="10.875" style="5"/>
    <col min="10997" max="10997" width="12.5" style="5" customWidth="1"/>
    <col min="10998" max="10998" width="14.625" style="5" customWidth="1"/>
    <col min="10999" max="11004" width="10.875" style="5"/>
    <col min="11005" max="11005" width="14.625" style="5" customWidth="1"/>
    <col min="11006" max="11013" width="10.875" style="5"/>
    <col min="11014" max="11014" width="13.125" style="5" customWidth="1"/>
    <col min="11015" max="11250" width="10.875" style="5"/>
    <col min="11251" max="11251" width="21.875" style="5" customWidth="1"/>
    <col min="11252" max="11252" width="10.875" style="5"/>
    <col min="11253" max="11253" width="12.5" style="5" customWidth="1"/>
    <col min="11254" max="11254" width="14.625" style="5" customWidth="1"/>
    <col min="11255" max="11260" width="10.875" style="5"/>
    <col min="11261" max="11261" width="14.625" style="5" customWidth="1"/>
    <col min="11262" max="11269" width="10.875" style="5"/>
    <col min="11270" max="11270" width="13.125" style="5" customWidth="1"/>
    <col min="11271" max="11506" width="10.875" style="5"/>
    <col min="11507" max="11507" width="21.875" style="5" customWidth="1"/>
    <col min="11508" max="11508" width="10.875" style="5"/>
    <col min="11509" max="11509" width="12.5" style="5" customWidth="1"/>
    <col min="11510" max="11510" width="14.625" style="5" customWidth="1"/>
    <col min="11511" max="11516" width="10.875" style="5"/>
    <col min="11517" max="11517" width="14.625" style="5" customWidth="1"/>
    <col min="11518" max="11525" width="10.875" style="5"/>
    <col min="11526" max="11526" width="13.125" style="5" customWidth="1"/>
    <col min="11527" max="11762" width="10.875" style="5"/>
    <col min="11763" max="11763" width="21.875" style="5" customWidth="1"/>
    <col min="11764" max="11764" width="10.875" style="5"/>
    <col min="11765" max="11765" width="12.5" style="5" customWidth="1"/>
    <col min="11766" max="11766" width="14.625" style="5" customWidth="1"/>
    <col min="11767" max="11772" width="10.875" style="5"/>
    <col min="11773" max="11773" width="14.625" style="5" customWidth="1"/>
    <col min="11774" max="11781" width="10.875" style="5"/>
    <col min="11782" max="11782" width="13.125" style="5" customWidth="1"/>
    <col min="11783" max="12018" width="10.875" style="5"/>
    <col min="12019" max="12019" width="21.875" style="5" customWidth="1"/>
    <col min="12020" max="12020" width="10.875" style="5"/>
    <col min="12021" max="12021" width="12.5" style="5" customWidth="1"/>
    <col min="12022" max="12022" width="14.625" style="5" customWidth="1"/>
    <col min="12023" max="12028" width="10.875" style="5"/>
    <col min="12029" max="12029" width="14.625" style="5" customWidth="1"/>
    <col min="12030" max="12037" width="10.875" style="5"/>
    <col min="12038" max="12038" width="13.125" style="5" customWidth="1"/>
    <col min="12039" max="12274" width="10.875" style="5"/>
    <col min="12275" max="12275" width="21.875" style="5" customWidth="1"/>
    <col min="12276" max="12276" width="10.875" style="5"/>
    <col min="12277" max="12277" width="12.5" style="5" customWidth="1"/>
    <col min="12278" max="12278" width="14.625" style="5" customWidth="1"/>
    <col min="12279" max="12284" width="10.875" style="5"/>
    <col min="12285" max="12285" width="14.625" style="5" customWidth="1"/>
    <col min="12286" max="12293" width="10.875" style="5"/>
    <col min="12294" max="12294" width="13.125" style="5" customWidth="1"/>
    <col min="12295" max="12530" width="10.875" style="5"/>
    <col min="12531" max="12531" width="21.875" style="5" customWidth="1"/>
    <col min="12532" max="12532" width="10.875" style="5"/>
    <col min="12533" max="12533" width="12.5" style="5" customWidth="1"/>
    <col min="12534" max="12534" width="14.625" style="5" customWidth="1"/>
    <col min="12535" max="12540" width="10.875" style="5"/>
    <col min="12541" max="12541" width="14.625" style="5" customWidth="1"/>
    <col min="12542" max="12549" width="10.875" style="5"/>
    <col min="12550" max="12550" width="13.125" style="5" customWidth="1"/>
    <col min="12551" max="12786" width="10.875" style="5"/>
    <col min="12787" max="12787" width="21.875" style="5" customWidth="1"/>
    <col min="12788" max="12788" width="10.875" style="5"/>
    <col min="12789" max="12789" width="12.5" style="5" customWidth="1"/>
    <col min="12790" max="12790" width="14.625" style="5" customWidth="1"/>
    <col min="12791" max="12796" width="10.875" style="5"/>
    <col min="12797" max="12797" width="14.625" style="5" customWidth="1"/>
    <col min="12798" max="12805" width="10.875" style="5"/>
    <col min="12806" max="12806" width="13.125" style="5" customWidth="1"/>
    <col min="12807" max="13042" width="10.875" style="5"/>
    <col min="13043" max="13043" width="21.875" style="5" customWidth="1"/>
    <col min="13044" max="13044" width="10.875" style="5"/>
    <col min="13045" max="13045" width="12.5" style="5" customWidth="1"/>
    <col min="13046" max="13046" width="14.625" style="5" customWidth="1"/>
    <col min="13047" max="13052" width="10.875" style="5"/>
    <col min="13053" max="13053" width="14.625" style="5" customWidth="1"/>
    <col min="13054" max="13061" width="10.875" style="5"/>
    <col min="13062" max="13062" width="13.125" style="5" customWidth="1"/>
    <col min="13063" max="13298" width="10.875" style="5"/>
    <col min="13299" max="13299" width="21.875" style="5" customWidth="1"/>
    <col min="13300" max="13300" width="10.875" style="5"/>
    <col min="13301" max="13301" width="12.5" style="5" customWidth="1"/>
    <col min="13302" max="13302" width="14.625" style="5" customWidth="1"/>
    <col min="13303" max="13308" width="10.875" style="5"/>
    <col min="13309" max="13309" width="14.625" style="5" customWidth="1"/>
    <col min="13310" max="13317" width="10.875" style="5"/>
    <col min="13318" max="13318" width="13.125" style="5" customWidth="1"/>
    <col min="13319" max="13554" width="10.875" style="5"/>
    <col min="13555" max="13555" width="21.875" style="5" customWidth="1"/>
    <col min="13556" max="13556" width="10.875" style="5"/>
    <col min="13557" max="13557" width="12.5" style="5" customWidth="1"/>
    <col min="13558" max="13558" width="14.625" style="5" customWidth="1"/>
    <col min="13559" max="13564" width="10.875" style="5"/>
    <col min="13565" max="13565" width="14.625" style="5" customWidth="1"/>
    <col min="13566" max="13573" width="10.875" style="5"/>
    <col min="13574" max="13574" width="13.125" style="5" customWidth="1"/>
    <col min="13575" max="13810" width="10.875" style="5"/>
    <col min="13811" max="13811" width="21.875" style="5" customWidth="1"/>
    <col min="13812" max="13812" width="10.875" style="5"/>
    <col min="13813" max="13813" width="12.5" style="5" customWidth="1"/>
    <col min="13814" max="13814" width="14.625" style="5" customWidth="1"/>
    <col min="13815" max="13820" width="10.875" style="5"/>
    <col min="13821" max="13821" width="14.625" style="5" customWidth="1"/>
    <col min="13822" max="13829" width="10.875" style="5"/>
    <col min="13830" max="13830" width="13.125" style="5" customWidth="1"/>
    <col min="13831" max="14066" width="10.875" style="5"/>
    <col min="14067" max="14067" width="21.875" style="5" customWidth="1"/>
    <col min="14068" max="14068" width="10.875" style="5"/>
    <col min="14069" max="14069" width="12.5" style="5" customWidth="1"/>
    <col min="14070" max="14070" width="14.625" style="5" customWidth="1"/>
    <col min="14071" max="14076" width="10.875" style="5"/>
    <col min="14077" max="14077" width="14.625" style="5" customWidth="1"/>
    <col min="14078" max="14085" width="10.875" style="5"/>
    <col min="14086" max="14086" width="13.125" style="5" customWidth="1"/>
    <col min="14087" max="14322" width="10.875" style="5"/>
    <col min="14323" max="14323" width="21.875" style="5" customWidth="1"/>
    <col min="14324" max="14324" width="10.875" style="5"/>
    <col min="14325" max="14325" width="12.5" style="5" customWidth="1"/>
    <col min="14326" max="14326" width="14.625" style="5" customWidth="1"/>
    <col min="14327" max="14332" width="10.875" style="5"/>
    <col min="14333" max="14333" width="14.625" style="5" customWidth="1"/>
    <col min="14334" max="14341" width="10.875" style="5"/>
    <col min="14342" max="14342" width="13.125" style="5" customWidth="1"/>
    <col min="14343" max="14578" width="10.875" style="5"/>
    <col min="14579" max="14579" width="21.875" style="5" customWidth="1"/>
    <col min="14580" max="14580" width="10.875" style="5"/>
    <col min="14581" max="14581" width="12.5" style="5" customWidth="1"/>
    <col min="14582" max="14582" width="14.625" style="5" customWidth="1"/>
    <col min="14583" max="14588" width="10.875" style="5"/>
    <col min="14589" max="14589" width="14.625" style="5" customWidth="1"/>
    <col min="14590" max="14597" width="10.875" style="5"/>
    <col min="14598" max="14598" width="13.125" style="5" customWidth="1"/>
    <col min="14599" max="14834" width="10.875" style="5"/>
    <col min="14835" max="14835" width="21.875" style="5" customWidth="1"/>
    <col min="14836" max="14836" width="10.875" style="5"/>
    <col min="14837" max="14837" width="12.5" style="5" customWidth="1"/>
    <col min="14838" max="14838" width="14.625" style="5" customWidth="1"/>
    <col min="14839" max="14844" width="10.875" style="5"/>
    <col min="14845" max="14845" width="14.625" style="5" customWidth="1"/>
    <col min="14846" max="14853" width="10.875" style="5"/>
    <col min="14854" max="14854" width="13.125" style="5" customWidth="1"/>
    <col min="14855" max="15090" width="10.875" style="5"/>
    <col min="15091" max="15091" width="21.875" style="5" customWidth="1"/>
    <col min="15092" max="15092" width="10.875" style="5"/>
    <col min="15093" max="15093" width="12.5" style="5" customWidth="1"/>
    <col min="15094" max="15094" width="14.625" style="5" customWidth="1"/>
    <col min="15095" max="15100" width="10.875" style="5"/>
    <col min="15101" max="15101" width="14.625" style="5" customWidth="1"/>
    <col min="15102" max="15109" width="10.875" style="5"/>
    <col min="15110" max="15110" width="13.125" style="5" customWidth="1"/>
    <col min="15111" max="15346" width="10.875" style="5"/>
    <col min="15347" max="15347" width="21.875" style="5" customWidth="1"/>
    <col min="15348" max="15348" width="10.875" style="5"/>
    <col min="15349" max="15349" width="12.5" style="5" customWidth="1"/>
    <col min="15350" max="15350" width="14.625" style="5" customWidth="1"/>
    <col min="15351" max="15356" width="10.875" style="5"/>
    <col min="15357" max="15357" width="14.625" style="5" customWidth="1"/>
    <col min="15358" max="15365" width="10.875" style="5"/>
    <col min="15366" max="15366" width="13.125" style="5" customWidth="1"/>
    <col min="15367" max="15602" width="10.875" style="5"/>
    <col min="15603" max="15603" width="21.875" style="5" customWidth="1"/>
    <col min="15604" max="15604" width="10.875" style="5"/>
    <col min="15605" max="15605" width="12.5" style="5" customWidth="1"/>
    <col min="15606" max="15606" width="14.625" style="5" customWidth="1"/>
    <col min="15607" max="15612" width="10.875" style="5"/>
    <col min="15613" max="15613" width="14.625" style="5" customWidth="1"/>
    <col min="15614" max="15621" width="10.875" style="5"/>
    <col min="15622" max="15622" width="13.125" style="5" customWidth="1"/>
    <col min="15623" max="15858" width="10.875" style="5"/>
    <col min="15859" max="15859" width="21.875" style="5" customWidth="1"/>
    <col min="15860" max="15860" width="10.875" style="5"/>
    <col min="15861" max="15861" width="12.5" style="5" customWidth="1"/>
    <col min="15862" max="15862" width="14.625" style="5" customWidth="1"/>
    <col min="15863" max="15868" width="10.875" style="5"/>
    <col min="15869" max="15869" width="14.625" style="5" customWidth="1"/>
    <col min="15870" max="15877" width="10.875" style="5"/>
    <col min="15878" max="15878" width="13.125" style="5" customWidth="1"/>
    <col min="15879" max="16114" width="10.875" style="5"/>
    <col min="16115" max="16115" width="21.875" style="5" customWidth="1"/>
    <col min="16116" max="16116" width="10.875" style="5"/>
    <col min="16117" max="16117" width="12.5" style="5" customWidth="1"/>
    <col min="16118" max="16118" width="14.625" style="5" customWidth="1"/>
    <col min="16119" max="16124" width="10.875" style="5"/>
    <col min="16125" max="16125" width="14.625" style="5" customWidth="1"/>
    <col min="16126" max="16133" width="10.875" style="5"/>
    <col min="16134" max="16134" width="13.125" style="5" customWidth="1"/>
    <col min="16135" max="16384" width="10.875" style="5"/>
  </cols>
  <sheetData>
    <row r="1" spans="1:37" s="55" customFormat="1" ht="84" customHeight="1">
      <c r="A1" s="55" t="s">
        <v>8</v>
      </c>
      <c r="B1" s="55" t="s">
        <v>10</v>
      </c>
      <c r="C1" s="55" t="s">
        <v>51</v>
      </c>
      <c r="D1" s="55" t="s">
        <v>52</v>
      </c>
      <c r="E1" s="55" t="s">
        <v>53</v>
      </c>
      <c r="F1" s="55" t="s">
        <v>54</v>
      </c>
      <c r="G1" s="55" t="s">
        <v>55</v>
      </c>
      <c r="H1" s="55" t="s">
        <v>56</v>
      </c>
      <c r="I1" s="55" t="s">
        <v>57</v>
      </c>
      <c r="J1" s="55" t="s">
        <v>58</v>
      </c>
      <c r="K1" s="55" t="s">
        <v>59</v>
      </c>
      <c r="L1" s="1" t="s">
        <v>60</v>
      </c>
      <c r="M1" s="55" t="s">
        <v>61</v>
      </c>
      <c r="N1" s="55" t="s">
        <v>62</v>
      </c>
      <c r="O1" s="55" t="s">
        <v>63</v>
      </c>
      <c r="P1" s="55" t="s">
        <v>64</v>
      </c>
      <c r="Q1" s="55" t="s">
        <v>65</v>
      </c>
      <c r="R1" s="55" t="s">
        <v>66</v>
      </c>
      <c r="S1" s="55" t="s">
        <v>67</v>
      </c>
      <c r="T1" s="55" t="s">
        <v>68</v>
      </c>
      <c r="U1" s="55" t="s">
        <v>69</v>
      </c>
      <c r="V1" s="55" t="s">
        <v>70</v>
      </c>
      <c r="W1" s="55" t="s">
        <v>71</v>
      </c>
      <c r="X1" s="55" t="s">
        <v>72</v>
      </c>
      <c r="Y1" s="55" t="s">
        <v>73</v>
      </c>
      <c r="Z1" s="55" t="s">
        <v>74</v>
      </c>
      <c r="AA1" s="55" t="s">
        <v>75</v>
      </c>
    </row>
    <row r="2" spans="1:37" s="2" customFormat="1" ht="15" customHeight="1">
      <c r="A2" s="2">
        <v>10672</v>
      </c>
      <c r="B2" s="3" t="s">
        <v>12</v>
      </c>
      <c r="C2" s="2">
        <v>100103</v>
      </c>
      <c r="D2" s="2">
        <v>936</v>
      </c>
      <c r="E2" s="2">
        <f>C2/D2</f>
        <v>106.94764957264957</v>
      </c>
      <c r="F2" s="2">
        <f>(150/5*20)*E2</f>
        <v>64168.589743589742</v>
      </c>
      <c r="G2" s="2">
        <f>F2*H2</f>
        <v>6416858.974358974</v>
      </c>
      <c r="H2" s="2">
        <v>100</v>
      </c>
      <c r="I2" s="2" t="s">
        <v>76</v>
      </c>
      <c r="J2" s="2">
        <f>I2*G2</f>
        <v>1815971.0897435895</v>
      </c>
      <c r="K2" s="56" t="s">
        <v>77</v>
      </c>
      <c r="L2" s="21">
        <f>K2*J2</f>
        <v>2542.3595256410254</v>
      </c>
      <c r="M2" s="56" t="s">
        <v>78</v>
      </c>
      <c r="N2" s="2">
        <f>M2*L2</f>
        <v>1561.0087487435896</v>
      </c>
      <c r="O2" s="56" t="s">
        <v>79</v>
      </c>
      <c r="P2" s="56" t="s">
        <v>80</v>
      </c>
      <c r="Q2" s="2">
        <f t="shared" ref="Q2:Q25" si="0">O2*N2</f>
        <v>213.8581985778718</v>
      </c>
      <c r="R2" s="4" t="s">
        <v>81</v>
      </c>
      <c r="S2" s="2">
        <f>R2*L2</f>
        <v>49.576010749999995</v>
      </c>
      <c r="T2" s="60" t="s">
        <v>82</v>
      </c>
      <c r="U2" s="4" t="s">
        <v>83</v>
      </c>
      <c r="V2" s="2">
        <f>U2*L2</f>
        <v>193.21932394871791</v>
      </c>
      <c r="W2" s="56" t="s">
        <v>84</v>
      </c>
      <c r="X2" s="2">
        <f t="shared" ref="X2:X25" si="1">W2*L2</f>
        <v>113.89770674871794</v>
      </c>
      <c r="Y2" s="56" t="s">
        <v>85</v>
      </c>
      <c r="Z2" s="56" t="s">
        <v>86</v>
      </c>
      <c r="AA2" s="2">
        <f t="shared" ref="AA2:AA25" si="2">Y2*N2</f>
        <v>312.20174974871793</v>
      </c>
      <c r="AJ2" s="56"/>
      <c r="AK2" s="56"/>
    </row>
    <row r="3" spans="1:37" s="2" customFormat="1" ht="15" customHeight="1">
      <c r="A3" s="2">
        <v>10673</v>
      </c>
      <c r="B3" s="3" t="s">
        <v>12</v>
      </c>
      <c r="C3" s="2">
        <v>151329</v>
      </c>
      <c r="D3" s="2">
        <v>1031</v>
      </c>
      <c r="E3" s="2">
        <f t="shared" ref="E3:E25" si="3">C3/D3</f>
        <v>146.77885548011639</v>
      </c>
      <c r="F3" s="2">
        <f t="shared" ref="F3:F25" si="4">(150/5*20)*E3</f>
        <v>88067.313288069839</v>
      </c>
      <c r="G3" s="2">
        <f t="shared" ref="G3:G25" si="5">F3*H3</f>
        <v>8806731.3288069833</v>
      </c>
      <c r="H3" s="2">
        <v>100</v>
      </c>
      <c r="I3" s="2" t="s">
        <v>87</v>
      </c>
      <c r="J3" s="2">
        <f t="shared" ref="J3:J25" si="6">I3*G3</f>
        <v>2360203.9961202717</v>
      </c>
      <c r="K3" s="56" t="s">
        <v>88</v>
      </c>
      <c r="L3" s="21">
        <f t="shared" ref="L3:L25" si="7">K3*J3</f>
        <v>4956.4283918525707</v>
      </c>
      <c r="M3" s="56" t="s">
        <v>89</v>
      </c>
      <c r="N3" s="2">
        <f t="shared" ref="N3:N25" si="8">M3*L3</f>
        <v>3038.2906042056256</v>
      </c>
      <c r="O3" s="56" t="s">
        <v>90</v>
      </c>
      <c r="P3" s="56" t="s">
        <v>91</v>
      </c>
      <c r="Q3" s="2">
        <f t="shared" si="0"/>
        <v>504.35624029813386</v>
      </c>
      <c r="R3" s="4" t="s">
        <v>92</v>
      </c>
      <c r="S3" s="2">
        <f t="shared" ref="S3:S25" si="9">R3*L3</f>
        <v>119.94556708283221</v>
      </c>
      <c r="T3" s="60" t="s">
        <v>93</v>
      </c>
      <c r="U3" s="4" t="s">
        <v>94</v>
      </c>
      <c r="V3" s="2">
        <f t="shared" ref="V3:V25" si="10">U3*L3</f>
        <v>479.28662549214357</v>
      </c>
      <c r="W3" s="56" t="s">
        <v>95</v>
      </c>
      <c r="X3" s="2">
        <f t="shared" si="1"/>
        <v>157.11878002172648</v>
      </c>
      <c r="Y3" s="56" t="s">
        <v>96</v>
      </c>
      <c r="Z3" s="56" t="s">
        <v>97</v>
      </c>
      <c r="AA3" s="2">
        <f t="shared" si="2"/>
        <v>319.02051344159071</v>
      </c>
      <c r="AJ3" s="56"/>
      <c r="AK3" s="56"/>
    </row>
    <row r="4" spans="1:37" s="2" customFormat="1" ht="15" customHeight="1">
      <c r="A4" s="2">
        <v>10674</v>
      </c>
      <c r="B4" s="3" t="s">
        <v>12</v>
      </c>
      <c r="C4" s="2">
        <v>100904</v>
      </c>
      <c r="D4" s="2">
        <v>986</v>
      </c>
      <c r="E4" s="2">
        <f t="shared" si="3"/>
        <v>102.3367139959432</v>
      </c>
      <c r="F4" s="2">
        <f t="shared" si="4"/>
        <v>61402.028397565919</v>
      </c>
      <c r="G4" s="2">
        <f t="shared" si="5"/>
        <v>6140202.8397565922</v>
      </c>
      <c r="H4" s="2">
        <v>100</v>
      </c>
      <c r="I4" s="2" t="s">
        <v>98</v>
      </c>
      <c r="J4" s="2">
        <f t="shared" si="6"/>
        <v>1578032.1298174441</v>
      </c>
      <c r="K4" s="56" t="s">
        <v>77</v>
      </c>
      <c r="L4" s="21">
        <f t="shared" si="7"/>
        <v>2209.2449817444217</v>
      </c>
      <c r="M4" s="56" t="s">
        <v>99</v>
      </c>
      <c r="N4" s="2">
        <f t="shared" si="8"/>
        <v>1179.7368202515213</v>
      </c>
      <c r="O4" s="56" t="s">
        <v>100</v>
      </c>
      <c r="P4" s="56" t="s">
        <v>101</v>
      </c>
      <c r="Q4" s="2">
        <f t="shared" si="0"/>
        <v>230.04867994904666</v>
      </c>
      <c r="R4" s="4" t="s">
        <v>102</v>
      </c>
      <c r="S4" s="2">
        <f t="shared" si="9"/>
        <v>55.672973539959429</v>
      </c>
      <c r="T4" s="60" t="s">
        <v>103</v>
      </c>
      <c r="U4" s="4" t="s">
        <v>104</v>
      </c>
      <c r="V4" s="2">
        <f t="shared" si="10"/>
        <v>215.40138572008112</v>
      </c>
      <c r="W4" s="56" t="s">
        <v>105</v>
      </c>
      <c r="X4" s="2">
        <f t="shared" si="1"/>
        <v>77.986347855578074</v>
      </c>
      <c r="Y4" s="56" t="s">
        <v>106</v>
      </c>
      <c r="Z4" s="56" t="s">
        <v>107</v>
      </c>
      <c r="AA4" s="2">
        <f t="shared" si="2"/>
        <v>162.80368119470995</v>
      </c>
      <c r="AJ4" s="56"/>
      <c r="AK4" s="56"/>
    </row>
    <row r="5" spans="1:37" s="2" customFormat="1" ht="15" customHeight="1">
      <c r="A5" s="2">
        <v>10675</v>
      </c>
      <c r="B5" s="3" t="s">
        <v>12</v>
      </c>
      <c r="C5" s="2">
        <v>86722</v>
      </c>
      <c r="D5" s="2">
        <v>981</v>
      </c>
      <c r="E5" s="2">
        <f t="shared" si="3"/>
        <v>88.401630988786948</v>
      </c>
      <c r="F5" s="2">
        <f t="shared" si="4"/>
        <v>53040.978593272172</v>
      </c>
      <c r="G5" s="2">
        <f t="shared" si="5"/>
        <v>5304097.8593272176</v>
      </c>
      <c r="H5" s="2">
        <v>100</v>
      </c>
      <c r="I5" s="2" t="s">
        <v>108</v>
      </c>
      <c r="J5" s="2">
        <f t="shared" si="6"/>
        <v>1495755.5963302753</v>
      </c>
      <c r="K5" s="56" t="s">
        <v>109</v>
      </c>
      <c r="L5" s="21">
        <f t="shared" si="7"/>
        <v>1196.6044770642202</v>
      </c>
      <c r="M5" s="56" t="s">
        <v>110</v>
      </c>
      <c r="N5" s="2">
        <f t="shared" si="8"/>
        <v>708.3898504220183</v>
      </c>
      <c r="O5" s="56" t="s">
        <v>111</v>
      </c>
      <c r="P5" s="56" t="s">
        <v>112</v>
      </c>
      <c r="Q5" s="2">
        <f t="shared" si="0"/>
        <v>177.09746260550457</v>
      </c>
      <c r="R5" s="4" t="s">
        <v>113</v>
      </c>
      <c r="S5" s="2">
        <f t="shared" si="9"/>
        <v>46.308593262385322</v>
      </c>
      <c r="T5" s="60" t="s">
        <v>114</v>
      </c>
      <c r="U5" s="4" t="s">
        <v>115</v>
      </c>
      <c r="V5" s="2">
        <f t="shared" si="10"/>
        <v>160.34499992660551</v>
      </c>
      <c r="W5" s="56" t="s">
        <v>116</v>
      </c>
      <c r="X5" s="2">
        <f t="shared" si="1"/>
        <v>80.052839515596332</v>
      </c>
      <c r="Y5" s="56" t="s">
        <v>117</v>
      </c>
      <c r="Z5" s="56" t="s">
        <v>86</v>
      </c>
      <c r="AA5" s="2">
        <f t="shared" si="2"/>
        <v>147.34508888777981</v>
      </c>
      <c r="AJ5" s="56"/>
      <c r="AK5" s="56"/>
    </row>
    <row r="6" spans="1:37" s="2" customFormat="1" ht="15" customHeight="1">
      <c r="A6" s="2">
        <v>10676</v>
      </c>
      <c r="B6" s="3" t="s">
        <v>12</v>
      </c>
      <c r="C6" s="2">
        <v>113765</v>
      </c>
      <c r="D6" s="2">
        <v>974</v>
      </c>
      <c r="E6" s="2">
        <f t="shared" si="3"/>
        <v>116.80184804928132</v>
      </c>
      <c r="F6" s="2">
        <f t="shared" si="4"/>
        <v>70081.108829568795</v>
      </c>
      <c r="G6" s="2">
        <f t="shared" si="5"/>
        <v>7008110.8829568792</v>
      </c>
      <c r="H6" s="2">
        <v>100</v>
      </c>
      <c r="I6" s="2" t="s">
        <v>118</v>
      </c>
      <c r="J6" s="2">
        <f t="shared" si="6"/>
        <v>1962271.0472279263</v>
      </c>
      <c r="K6" s="56" t="s">
        <v>119</v>
      </c>
      <c r="L6" s="21">
        <f t="shared" si="7"/>
        <v>2550.9523613963042</v>
      </c>
      <c r="M6" s="56" t="s">
        <v>120</v>
      </c>
      <c r="N6" s="2">
        <f t="shared" si="8"/>
        <v>1706.5871297741276</v>
      </c>
      <c r="O6" s="56" t="s">
        <v>121</v>
      </c>
      <c r="P6" s="56" t="s">
        <v>122</v>
      </c>
      <c r="Q6" s="2">
        <f t="shared" si="0"/>
        <v>411.2874982755647</v>
      </c>
      <c r="R6" s="4" t="s">
        <v>123</v>
      </c>
      <c r="S6" s="2">
        <f t="shared" si="9"/>
        <v>29.846142628336761</v>
      </c>
      <c r="T6" s="60" t="s">
        <v>124</v>
      </c>
      <c r="U6" s="4" t="s">
        <v>125</v>
      </c>
      <c r="V6" s="2">
        <f t="shared" si="10"/>
        <v>339.27666406570847</v>
      </c>
      <c r="W6" s="56" t="s">
        <v>126</v>
      </c>
      <c r="X6" s="2">
        <f t="shared" si="1"/>
        <v>42.855999671457909</v>
      </c>
      <c r="Y6" s="56" t="s">
        <v>86</v>
      </c>
      <c r="Z6" s="56" t="s">
        <v>127</v>
      </c>
      <c r="AA6" s="2">
        <f t="shared" si="2"/>
        <v>209.91021696221767</v>
      </c>
      <c r="AJ6" s="56"/>
      <c r="AK6" s="56"/>
    </row>
    <row r="7" spans="1:37" s="2" customFormat="1" ht="15" customHeight="1">
      <c r="A7" s="2">
        <v>10677</v>
      </c>
      <c r="B7" s="3" t="s">
        <v>12</v>
      </c>
      <c r="C7" s="2">
        <v>299942</v>
      </c>
      <c r="D7" s="2">
        <v>1314</v>
      </c>
      <c r="E7" s="2">
        <f t="shared" si="3"/>
        <v>228.26636225266361</v>
      </c>
      <c r="F7" s="2">
        <f t="shared" si="4"/>
        <v>136959.81735159818</v>
      </c>
      <c r="G7" s="2">
        <f t="shared" si="5"/>
        <v>13695981.735159818</v>
      </c>
      <c r="H7" s="2">
        <v>100</v>
      </c>
      <c r="I7" s="2" t="s">
        <v>76</v>
      </c>
      <c r="J7" s="2">
        <f t="shared" si="6"/>
        <v>3875962.8310502283</v>
      </c>
      <c r="K7" s="56" t="s">
        <v>128</v>
      </c>
      <c r="L7" s="21">
        <f t="shared" si="7"/>
        <v>5813.9442465753427</v>
      </c>
      <c r="M7" s="56" t="s">
        <v>129</v>
      </c>
      <c r="N7" s="2">
        <f t="shared" si="8"/>
        <v>3383.7155515068494</v>
      </c>
      <c r="O7" s="56" t="s">
        <v>130</v>
      </c>
      <c r="P7" s="56" t="s">
        <v>131</v>
      </c>
      <c r="Q7" s="2">
        <f t="shared" si="0"/>
        <v>622.60366147726029</v>
      </c>
      <c r="R7" s="4" t="s">
        <v>132</v>
      </c>
      <c r="S7" s="2">
        <f t="shared" si="9"/>
        <v>47.674342821917811</v>
      </c>
      <c r="T7" s="60" t="s">
        <v>133</v>
      </c>
      <c r="U7" s="4" t="s">
        <v>134</v>
      </c>
      <c r="V7" s="2">
        <f t="shared" si="10"/>
        <v>534.30147626027394</v>
      </c>
      <c r="W7" s="56" t="s">
        <v>135</v>
      </c>
      <c r="X7" s="2">
        <f t="shared" si="1"/>
        <v>231.39498101369864</v>
      </c>
      <c r="Y7" s="56" t="s">
        <v>136</v>
      </c>
      <c r="Z7" s="56" t="s">
        <v>137</v>
      </c>
      <c r="AA7" s="2">
        <f t="shared" si="2"/>
        <v>470.33646165945208</v>
      </c>
      <c r="AJ7" s="56"/>
      <c r="AK7" s="56"/>
    </row>
    <row r="8" spans="1:37" s="6" customFormat="1" ht="15" customHeight="1">
      <c r="A8" s="6">
        <v>10678</v>
      </c>
      <c r="B8" s="6" t="s">
        <v>14</v>
      </c>
      <c r="C8" s="6">
        <v>126357</v>
      </c>
      <c r="D8" s="6">
        <v>977</v>
      </c>
      <c r="E8" s="6">
        <f t="shared" si="3"/>
        <v>129.33162743091094</v>
      </c>
      <c r="F8" s="6">
        <f t="shared" si="4"/>
        <v>77598.97645854656</v>
      </c>
      <c r="G8" s="6">
        <f t="shared" si="5"/>
        <v>7759897.6458546557</v>
      </c>
      <c r="H8" s="6">
        <v>100</v>
      </c>
      <c r="I8" s="6" t="s">
        <v>138</v>
      </c>
      <c r="J8" s="6">
        <f t="shared" si="6"/>
        <v>2203810.9314227221</v>
      </c>
      <c r="K8" s="57" t="s">
        <v>139</v>
      </c>
      <c r="L8" s="22">
        <f t="shared" si="7"/>
        <v>1564.7057613101326</v>
      </c>
      <c r="M8" s="57" t="s">
        <v>140</v>
      </c>
      <c r="N8" s="6">
        <f t="shared" si="8"/>
        <v>1060.8705061682699</v>
      </c>
      <c r="O8" s="57" t="s">
        <v>141</v>
      </c>
      <c r="P8" s="57" t="s">
        <v>142</v>
      </c>
      <c r="Q8" s="6">
        <f t="shared" si="0"/>
        <v>224.90454730767323</v>
      </c>
      <c r="R8" s="7" t="s">
        <v>143</v>
      </c>
      <c r="S8" s="6">
        <f t="shared" si="9"/>
        <v>17.837645678935512</v>
      </c>
      <c r="T8" s="61" t="s">
        <v>144</v>
      </c>
      <c r="U8" s="7" t="s">
        <v>145</v>
      </c>
      <c r="V8" s="6">
        <f t="shared" si="10"/>
        <v>219.0588065834186</v>
      </c>
      <c r="W8" s="57" t="s">
        <v>146</v>
      </c>
      <c r="X8" s="6">
        <f t="shared" si="1"/>
        <v>53.35646646067552</v>
      </c>
      <c r="Y8" s="57" t="s">
        <v>147</v>
      </c>
      <c r="Z8" s="57" t="s">
        <v>148</v>
      </c>
      <c r="AA8" s="6">
        <f t="shared" si="2"/>
        <v>107.14792112299527</v>
      </c>
      <c r="AJ8" s="57"/>
      <c r="AK8" s="57"/>
    </row>
    <row r="9" spans="1:37" s="6" customFormat="1" ht="15" customHeight="1">
      <c r="A9" s="6">
        <v>10679</v>
      </c>
      <c r="B9" s="6" t="s">
        <v>14</v>
      </c>
      <c r="C9" s="6">
        <v>170197</v>
      </c>
      <c r="D9" s="6">
        <v>981</v>
      </c>
      <c r="E9" s="6">
        <f t="shared" si="3"/>
        <v>173.49337410805302</v>
      </c>
      <c r="F9" s="6">
        <f t="shared" si="4"/>
        <v>104096.0244648318</v>
      </c>
      <c r="G9" s="6">
        <f t="shared" si="5"/>
        <v>10409602.44648318</v>
      </c>
      <c r="H9" s="6">
        <v>100</v>
      </c>
      <c r="I9" s="6" t="s">
        <v>149</v>
      </c>
      <c r="J9" s="6">
        <f t="shared" si="6"/>
        <v>2633629.4189602444</v>
      </c>
      <c r="K9" s="57" t="s">
        <v>150</v>
      </c>
      <c r="L9" s="22">
        <f t="shared" si="7"/>
        <v>1316.8147094801222</v>
      </c>
      <c r="M9" s="57" t="s">
        <v>151</v>
      </c>
      <c r="N9" s="6">
        <f t="shared" si="8"/>
        <v>965.22518204892958</v>
      </c>
      <c r="O9" s="57" t="s">
        <v>152</v>
      </c>
      <c r="P9" s="57" t="s">
        <v>153</v>
      </c>
      <c r="Q9" s="6">
        <f t="shared" si="0"/>
        <v>122.58359812021406</v>
      </c>
      <c r="R9" s="7" t="s">
        <v>154</v>
      </c>
      <c r="S9" s="6">
        <f t="shared" si="9"/>
        <v>0</v>
      </c>
      <c r="T9" s="61" t="s">
        <v>155</v>
      </c>
      <c r="U9" s="7" t="s">
        <v>156</v>
      </c>
      <c r="V9" s="6">
        <f t="shared" si="10"/>
        <v>91.913666721712531</v>
      </c>
      <c r="W9" s="57" t="s">
        <v>157</v>
      </c>
      <c r="X9" s="6">
        <f t="shared" si="1"/>
        <v>30.681782730886852</v>
      </c>
      <c r="Y9" s="57" t="s">
        <v>158</v>
      </c>
      <c r="Z9" s="57" t="s">
        <v>159</v>
      </c>
      <c r="AA9" s="6">
        <f t="shared" si="2"/>
        <v>130.30539957660551</v>
      </c>
      <c r="AJ9" s="57"/>
      <c r="AK9" s="57"/>
    </row>
    <row r="10" spans="1:37" s="6" customFormat="1" ht="15" customHeight="1">
      <c r="A10" s="6">
        <v>10680</v>
      </c>
      <c r="B10" s="6" t="s">
        <v>14</v>
      </c>
      <c r="C10" s="6">
        <v>91426</v>
      </c>
      <c r="D10" s="6">
        <v>1006</v>
      </c>
      <c r="E10" s="6">
        <f t="shared" si="3"/>
        <v>90.880715705765411</v>
      </c>
      <c r="F10" s="6">
        <f t="shared" si="4"/>
        <v>54528.429423459245</v>
      </c>
      <c r="G10" s="6">
        <f t="shared" si="5"/>
        <v>5452842.9423459247</v>
      </c>
      <c r="H10" s="6">
        <v>100</v>
      </c>
      <c r="I10" s="6" t="s">
        <v>160</v>
      </c>
      <c r="J10" s="6">
        <f t="shared" si="6"/>
        <v>1619494.3538767395</v>
      </c>
      <c r="K10" s="57" t="s">
        <v>161</v>
      </c>
      <c r="L10" s="22">
        <f t="shared" si="7"/>
        <v>1085.0612170974155</v>
      </c>
      <c r="M10" s="57" t="s">
        <v>162</v>
      </c>
      <c r="N10" s="6">
        <f t="shared" si="8"/>
        <v>596.78366940357853</v>
      </c>
      <c r="O10" s="57" t="s">
        <v>163</v>
      </c>
      <c r="P10" s="57" t="s">
        <v>164</v>
      </c>
      <c r="Q10" s="6">
        <f t="shared" si="0"/>
        <v>91.30790141874752</v>
      </c>
      <c r="R10" s="7" t="s">
        <v>102</v>
      </c>
      <c r="S10" s="6">
        <f t="shared" si="9"/>
        <v>27.34354267085487</v>
      </c>
      <c r="T10" s="61" t="s">
        <v>155</v>
      </c>
      <c r="U10" s="7" t="s">
        <v>165</v>
      </c>
      <c r="V10" s="6">
        <f t="shared" si="10"/>
        <v>68.358856677137169</v>
      </c>
      <c r="W10" s="57" t="s">
        <v>166</v>
      </c>
      <c r="X10" s="6">
        <f t="shared" si="1"/>
        <v>50.129828229900589</v>
      </c>
      <c r="Y10" s="57" t="s">
        <v>167</v>
      </c>
      <c r="Z10" s="57" t="s">
        <v>168</v>
      </c>
      <c r="AA10" s="6">
        <f t="shared" si="2"/>
        <v>86.53363206351888</v>
      </c>
      <c r="AJ10" s="57"/>
      <c r="AK10" s="57"/>
    </row>
    <row r="11" spans="1:37" s="6" customFormat="1" ht="15" customHeight="1">
      <c r="A11" s="6">
        <v>10681</v>
      </c>
      <c r="B11" s="6" t="s">
        <v>14</v>
      </c>
      <c r="C11" s="6">
        <v>100507</v>
      </c>
      <c r="D11" s="6">
        <v>1008</v>
      </c>
      <c r="E11" s="6">
        <f t="shared" si="3"/>
        <v>99.709325396825392</v>
      </c>
      <c r="F11" s="6">
        <f t="shared" si="4"/>
        <v>59825.595238095237</v>
      </c>
      <c r="G11" s="6">
        <f t="shared" si="5"/>
        <v>5982559.5238095233</v>
      </c>
      <c r="H11" s="6">
        <v>100</v>
      </c>
      <c r="I11" s="6" t="s">
        <v>169</v>
      </c>
      <c r="J11" s="6">
        <f t="shared" si="6"/>
        <v>1573413.1547619046</v>
      </c>
      <c r="K11" s="57" t="s">
        <v>170</v>
      </c>
      <c r="L11" s="22">
        <f t="shared" si="7"/>
        <v>1274.4646553571426</v>
      </c>
      <c r="M11" s="57" t="s">
        <v>171</v>
      </c>
      <c r="N11" s="6">
        <f t="shared" si="8"/>
        <v>846.24453115714277</v>
      </c>
      <c r="O11" s="57" t="s">
        <v>172</v>
      </c>
      <c r="P11" s="57" t="s">
        <v>173</v>
      </c>
      <c r="Q11" s="6">
        <f t="shared" si="0"/>
        <v>198.86746482192854</v>
      </c>
      <c r="R11" s="7" t="s">
        <v>174</v>
      </c>
      <c r="S11" s="6">
        <f t="shared" si="9"/>
        <v>20.773773882321422</v>
      </c>
      <c r="T11" s="61" t="s">
        <v>175</v>
      </c>
      <c r="U11" s="7" t="s">
        <v>176</v>
      </c>
      <c r="V11" s="6">
        <f t="shared" si="10"/>
        <v>191.16969830357138</v>
      </c>
      <c r="W11" s="57" t="s">
        <v>177</v>
      </c>
      <c r="X11" s="6">
        <f t="shared" si="1"/>
        <v>62.321321646964272</v>
      </c>
      <c r="Y11" s="57" t="s">
        <v>178</v>
      </c>
      <c r="Z11" s="57" t="s">
        <v>179</v>
      </c>
      <c r="AA11" s="6">
        <f t="shared" si="2"/>
        <v>91.394409364971423</v>
      </c>
      <c r="AJ11" s="57"/>
      <c r="AK11" s="57"/>
    </row>
    <row r="12" spans="1:37" s="6" customFormat="1" ht="15" customHeight="1">
      <c r="A12" s="6">
        <v>10682</v>
      </c>
      <c r="B12" s="6" t="s">
        <v>14</v>
      </c>
      <c r="C12" s="6">
        <v>77054</v>
      </c>
      <c r="D12" s="6">
        <v>1001</v>
      </c>
      <c r="E12" s="6">
        <f t="shared" si="3"/>
        <v>76.977022977022983</v>
      </c>
      <c r="F12" s="6">
        <f t="shared" si="4"/>
        <v>46186.21378621379</v>
      </c>
      <c r="G12" s="6">
        <f t="shared" si="5"/>
        <v>4618621.3786213789</v>
      </c>
      <c r="H12" s="6">
        <v>100</v>
      </c>
      <c r="I12" s="6" t="s">
        <v>180</v>
      </c>
      <c r="J12" s="6">
        <f t="shared" si="6"/>
        <v>1348637.4425574425</v>
      </c>
      <c r="K12" s="57" t="s">
        <v>181</v>
      </c>
      <c r="L12" s="22">
        <f t="shared" si="7"/>
        <v>741.75059340659345</v>
      </c>
      <c r="M12" s="57" t="s">
        <v>182</v>
      </c>
      <c r="N12" s="6">
        <f t="shared" si="8"/>
        <v>453.20961257142858</v>
      </c>
      <c r="O12" s="57" t="s">
        <v>183</v>
      </c>
      <c r="P12" s="57" t="s">
        <v>184</v>
      </c>
      <c r="Q12" s="6">
        <f t="shared" si="0"/>
        <v>83.843778325714283</v>
      </c>
      <c r="R12" s="7" t="s">
        <v>185</v>
      </c>
      <c r="S12" s="6">
        <f t="shared" si="9"/>
        <v>21.955817564835169</v>
      </c>
      <c r="T12" s="61" t="s">
        <v>186</v>
      </c>
      <c r="U12" s="7" t="s">
        <v>187</v>
      </c>
      <c r="V12" s="6">
        <f t="shared" si="10"/>
        <v>73.062433450549463</v>
      </c>
      <c r="W12" s="57" t="s">
        <v>188</v>
      </c>
      <c r="X12" s="6">
        <f t="shared" si="1"/>
        <v>7.3433308747252761</v>
      </c>
      <c r="Y12" s="57" t="s">
        <v>189</v>
      </c>
      <c r="Z12" s="57" t="s">
        <v>190</v>
      </c>
      <c r="AA12" s="6">
        <f t="shared" si="2"/>
        <v>58.46404002171429</v>
      </c>
      <c r="AJ12" s="57"/>
      <c r="AK12" s="57"/>
    </row>
    <row r="13" spans="1:37" s="6" customFormat="1" ht="15" customHeight="1">
      <c r="A13" s="6">
        <v>10683</v>
      </c>
      <c r="B13" s="6" t="s">
        <v>14</v>
      </c>
      <c r="C13" s="6">
        <v>136862</v>
      </c>
      <c r="D13" s="6">
        <v>1028</v>
      </c>
      <c r="E13" s="6">
        <f t="shared" si="3"/>
        <v>133.1342412451362</v>
      </c>
      <c r="F13" s="6">
        <f t="shared" si="4"/>
        <v>79880.544747081716</v>
      </c>
      <c r="G13" s="6">
        <f t="shared" si="5"/>
        <v>7988054.4747081716</v>
      </c>
      <c r="H13" s="6">
        <v>100</v>
      </c>
      <c r="I13" s="6" t="s">
        <v>191</v>
      </c>
      <c r="J13" s="6">
        <f t="shared" si="6"/>
        <v>2316535.7976653697</v>
      </c>
      <c r="K13" s="57" t="s">
        <v>192</v>
      </c>
      <c r="L13" s="22">
        <f t="shared" si="7"/>
        <v>2779.8429571984434</v>
      </c>
      <c r="M13" s="57" t="s">
        <v>193</v>
      </c>
      <c r="N13" s="6">
        <f t="shared" si="8"/>
        <v>1309.3060328404667</v>
      </c>
      <c r="O13" s="57" t="s">
        <v>194</v>
      </c>
      <c r="P13" s="57" t="s">
        <v>195</v>
      </c>
      <c r="Q13" s="6">
        <f t="shared" si="0"/>
        <v>335.18234440715952</v>
      </c>
      <c r="R13" s="7" t="s">
        <v>196</v>
      </c>
      <c r="S13" s="6">
        <f t="shared" si="9"/>
        <v>28.910366754863809</v>
      </c>
      <c r="T13" s="61" t="s">
        <v>197</v>
      </c>
      <c r="U13" s="7" t="s">
        <v>198</v>
      </c>
      <c r="V13" s="6">
        <f t="shared" si="10"/>
        <v>294.66335346303498</v>
      </c>
      <c r="W13" s="57" t="s">
        <v>199</v>
      </c>
      <c r="X13" s="6">
        <f t="shared" si="1"/>
        <v>190.41924256809338</v>
      </c>
      <c r="Y13" s="57" t="s">
        <v>176</v>
      </c>
      <c r="Z13" s="57" t="s">
        <v>200</v>
      </c>
      <c r="AA13" s="6">
        <f t="shared" si="2"/>
        <v>196.39590492607002</v>
      </c>
      <c r="AJ13" s="57"/>
      <c r="AK13" s="57"/>
    </row>
    <row r="14" spans="1:37" s="8" customFormat="1" ht="15" customHeight="1">
      <c r="A14" s="8">
        <v>10684</v>
      </c>
      <c r="B14" s="8" t="s">
        <v>15</v>
      </c>
      <c r="C14" s="8">
        <v>110162</v>
      </c>
      <c r="D14" s="8">
        <v>1016</v>
      </c>
      <c r="E14" s="8">
        <f t="shared" si="3"/>
        <v>108.42716535433071</v>
      </c>
      <c r="F14" s="8">
        <f t="shared" si="4"/>
        <v>65056.299212598424</v>
      </c>
      <c r="G14" s="8">
        <f t="shared" si="5"/>
        <v>6505629.9212598428</v>
      </c>
      <c r="H14" s="8">
        <v>100</v>
      </c>
      <c r="I14" s="8" t="s">
        <v>76</v>
      </c>
      <c r="J14" s="8">
        <f t="shared" si="6"/>
        <v>1841093.2677165354</v>
      </c>
      <c r="K14" s="58" t="s">
        <v>201</v>
      </c>
      <c r="L14" s="23">
        <f t="shared" si="7"/>
        <v>1049.4231625984251</v>
      </c>
      <c r="M14" s="58" t="s">
        <v>202</v>
      </c>
      <c r="N14" s="8">
        <f t="shared" si="8"/>
        <v>697.86640312795271</v>
      </c>
      <c r="O14" s="58" t="s">
        <v>203</v>
      </c>
      <c r="P14" s="58" t="s">
        <v>204</v>
      </c>
      <c r="Q14" s="8">
        <f t="shared" si="0"/>
        <v>286.12522528246058</v>
      </c>
      <c r="R14" s="9" t="s">
        <v>205</v>
      </c>
      <c r="S14" s="8">
        <f t="shared" si="9"/>
        <v>47.748753898228337</v>
      </c>
      <c r="T14" s="62" t="s">
        <v>206</v>
      </c>
      <c r="U14" s="9" t="s">
        <v>204</v>
      </c>
      <c r="V14" s="8">
        <f t="shared" si="10"/>
        <v>286.49252338937004</v>
      </c>
      <c r="W14" s="58" t="s">
        <v>205</v>
      </c>
      <c r="X14" s="8">
        <f t="shared" si="1"/>
        <v>47.748753898228337</v>
      </c>
      <c r="Y14" s="58" t="s">
        <v>207</v>
      </c>
      <c r="Z14" s="58" t="s">
        <v>135</v>
      </c>
      <c r="AA14" s="8">
        <f t="shared" si="2"/>
        <v>41.732410907051573</v>
      </c>
      <c r="AJ14" s="58"/>
      <c r="AK14" s="58"/>
    </row>
    <row r="15" spans="1:37" s="8" customFormat="1" ht="15" customHeight="1">
      <c r="A15" s="8">
        <v>10685</v>
      </c>
      <c r="B15" s="8" t="s">
        <v>15</v>
      </c>
      <c r="C15" s="8">
        <v>203027</v>
      </c>
      <c r="D15" s="8">
        <v>1029</v>
      </c>
      <c r="E15" s="8">
        <f t="shared" si="3"/>
        <v>197.30515063168124</v>
      </c>
      <c r="F15" s="8">
        <f t="shared" si="4"/>
        <v>118383.09037900875</v>
      </c>
      <c r="G15" s="8">
        <f t="shared" si="5"/>
        <v>11838309.037900874</v>
      </c>
      <c r="H15" s="8">
        <v>100</v>
      </c>
      <c r="I15" s="8" t="s">
        <v>208</v>
      </c>
      <c r="J15" s="8">
        <f t="shared" si="6"/>
        <v>3480462.8571428568</v>
      </c>
      <c r="K15" s="58" t="s">
        <v>192</v>
      </c>
      <c r="L15" s="23">
        <f t="shared" si="7"/>
        <v>4176.5554285714279</v>
      </c>
      <c r="M15" s="58" t="s">
        <v>209</v>
      </c>
      <c r="N15" s="8">
        <f t="shared" si="8"/>
        <v>2313.8117074285715</v>
      </c>
      <c r="O15" s="58" t="s">
        <v>210</v>
      </c>
      <c r="P15" s="58" t="s">
        <v>211</v>
      </c>
      <c r="Q15" s="8">
        <f t="shared" si="0"/>
        <v>763.5578634514286</v>
      </c>
      <c r="R15" s="9" t="s">
        <v>212</v>
      </c>
      <c r="S15" s="8">
        <f t="shared" si="9"/>
        <v>164.13862834285712</v>
      </c>
      <c r="T15" s="62" t="s">
        <v>213</v>
      </c>
      <c r="U15" s="9" t="s">
        <v>214</v>
      </c>
      <c r="V15" s="8">
        <f t="shared" si="10"/>
        <v>722.54408914285693</v>
      </c>
      <c r="W15" s="58" t="s">
        <v>215</v>
      </c>
      <c r="X15" s="8">
        <f t="shared" si="1"/>
        <v>85.61938628571427</v>
      </c>
      <c r="Y15" s="58" t="s">
        <v>195</v>
      </c>
      <c r="Z15" s="58" t="s">
        <v>216</v>
      </c>
      <c r="AA15" s="8">
        <f t="shared" si="2"/>
        <v>277.65740489142854</v>
      </c>
      <c r="AJ15" s="58"/>
      <c r="AK15" s="58"/>
    </row>
    <row r="16" spans="1:37" s="8" customFormat="1" ht="15" customHeight="1">
      <c r="A16" s="8">
        <v>10686</v>
      </c>
      <c r="B16" s="8" t="s">
        <v>15</v>
      </c>
      <c r="C16" s="8">
        <v>74517</v>
      </c>
      <c r="D16" s="8">
        <v>999</v>
      </c>
      <c r="E16" s="8">
        <f t="shared" si="3"/>
        <v>74.591591591591595</v>
      </c>
      <c r="F16" s="8">
        <f t="shared" si="4"/>
        <v>44754.954954954956</v>
      </c>
      <c r="G16" s="8">
        <f t="shared" si="5"/>
        <v>4475495.4954954954</v>
      </c>
      <c r="H16" s="8">
        <v>100</v>
      </c>
      <c r="I16" s="8" t="s">
        <v>217</v>
      </c>
      <c r="J16" s="8">
        <f t="shared" si="6"/>
        <v>1342648.6486486485</v>
      </c>
      <c r="K16" s="58" t="s">
        <v>218</v>
      </c>
      <c r="L16" s="23">
        <f t="shared" si="7"/>
        <v>886.14810810810798</v>
      </c>
      <c r="M16" s="58" t="s">
        <v>219</v>
      </c>
      <c r="N16" s="8">
        <f t="shared" si="8"/>
        <v>598.14997297297293</v>
      </c>
      <c r="O16" s="58" t="s">
        <v>220</v>
      </c>
      <c r="P16" s="58" t="s">
        <v>221</v>
      </c>
      <c r="Q16" s="8">
        <f t="shared" si="0"/>
        <v>196.19319113513512</v>
      </c>
      <c r="R16" s="9" t="s">
        <v>222</v>
      </c>
      <c r="S16" s="8">
        <f t="shared" si="9"/>
        <v>44.307405405405405</v>
      </c>
      <c r="T16" s="62" t="s">
        <v>223</v>
      </c>
      <c r="U16" s="9" t="s">
        <v>224</v>
      </c>
      <c r="V16" s="8">
        <f t="shared" si="10"/>
        <v>164.82354810810807</v>
      </c>
      <c r="W16" s="58" t="s">
        <v>225</v>
      </c>
      <c r="X16" s="8">
        <f t="shared" si="1"/>
        <v>18.963569513513509</v>
      </c>
      <c r="Y16" s="58" t="s">
        <v>226</v>
      </c>
      <c r="Z16" s="58" t="s">
        <v>227</v>
      </c>
      <c r="AA16" s="8">
        <f t="shared" si="2"/>
        <v>56.943877427027026</v>
      </c>
      <c r="AJ16" s="58"/>
      <c r="AK16" s="58"/>
    </row>
    <row r="17" spans="1:37" s="8" customFormat="1" ht="15" customHeight="1">
      <c r="A17" s="8">
        <v>10687</v>
      </c>
      <c r="B17" s="8" t="s">
        <v>15</v>
      </c>
      <c r="C17" s="8">
        <v>55691</v>
      </c>
      <c r="D17" s="8">
        <v>996</v>
      </c>
      <c r="E17" s="8">
        <f t="shared" si="3"/>
        <v>55.914658634538149</v>
      </c>
      <c r="F17" s="8">
        <f t="shared" si="4"/>
        <v>33548.795180722889</v>
      </c>
      <c r="G17" s="8">
        <f t="shared" si="5"/>
        <v>3354879.5180722889</v>
      </c>
      <c r="H17" s="8">
        <v>100</v>
      </c>
      <c r="I17" s="8" t="s">
        <v>228</v>
      </c>
      <c r="J17" s="8">
        <f t="shared" si="6"/>
        <v>1003108.9759036143</v>
      </c>
      <c r="K17" s="58" t="s">
        <v>139</v>
      </c>
      <c r="L17" s="23">
        <f t="shared" si="7"/>
        <v>712.20737289156614</v>
      </c>
      <c r="M17" s="58" t="s">
        <v>229</v>
      </c>
      <c r="N17" s="8">
        <f t="shared" si="8"/>
        <v>544.12643288915649</v>
      </c>
      <c r="O17" s="58" t="s">
        <v>118</v>
      </c>
      <c r="P17" s="58" t="s">
        <v>230</v>
      </c>
      <c r="Q17" s="8">
        <f t="shared" si="0"/>
        <v>152.35540120896383</v>
      </c>
      <c r="R17" s="9" t="s">
        <v>231</v>
      </c>
      <c r="S17" s="8">
        <f t="shared" si="9"/>
        <v>24.85603731391566</v>
      </c>
      <c r="T17" s="62" t="s">
        <v>232</v>
      </c>
      <c r="U17" s="9" t="s">
        <v>233</v>
      </c>
      <c r="V17" s="8">
        <f t="shared" si="10"/>
        <v>140.30485245963854</v>
      </c>
      <c r="W17" s="58" t="s">
        <v>234</v>
      </c>
      <c r="X17" s="8">
        <f t="shared" si="1"/>
        <v>6.1962041441566251</v>
      </c>
      <c r="Y17" s="58" t="s">
        <v>235</v>
      </c>
      <c r="Z17" s="58" t="s">
        <v>236</v>
      </c>
      <c r="AA17" s="8">
        <f t="shared" si="2"/>
        <v>59.309781184918059</v>
      </c>
      <c r="AJ17" s="58"/>
      <c r="AK17" s="58"/>
    </row>
    <row r="18" spans="1:37" s="8" customFormat="1" ht="15" customHeight="1">
      <c r="A18" s="8">
        <v>10688</v>
      </c>
      <c r="B18" s="8" t="s">
        <v>15</v>
      </c>
      <c r="C18" s="8">
        <v>116602</v>
      </c>
      <c r="D18" s="8">
        <v>1010</v>
      </c>
      <c r="E18" s="8">
        <f t="shared" si="3"/>
        <v>115.44752475247525</v>
      </c>
      <c r="F18" s="8">
        <f t="shared" si="4"/>
        <v>69268.514851485146</v>
      </c>
      <c r="G18" s="8">
        <f t="shared" si="5"/>
        <v>6926851.4851485146</v>
      </c>
      <c r="H18" s="8">
        <v>100</v>
      </c>
      <c r="I18" s="8" t="s">
        <v>237</v>
      </c>
      <c r="J18" s="8">
        <f t="shared" si="6"/>
        <v>2258153.5841584159</v>
      </c>
      <c r="K18" s="58" t="s">
        <v>139</v>
      </c>
      <c r="L18" s="23">
        <f t="shared" si="7"/>
        <v>1603.2890447524753</v>
      </c>
      <c r="M18" s="58" t="s">
        <v>238</v>
      </c>
      <c r="N18" s="8">
        <f t="shared" si="8"/>
        <v>1261.7884782201982</v>
      </c>
      <c r="O18" s="58" t="s">
        <v>239</v>
      </c>
      <c r="P18" s="58" t="s">
        <v>240</v>
      </c>
      <c r="Q18" s="8">
        <f t="shared" si="0"/>
        <v>383.58369737894026</v>
      </c>
      <c r="R18" s="9" t="s">
        <v>241</v>
      </c>
      <c r="S18" s="8">
        <f t="shared" si="9"/>
        <v>85.29497718083168</v>
      </c>
      <c r="T18" s="62" t="s">
        <v>242</v>
      </c>
      <c r="U18" s="9" t="s">
        <v>243</v>
      </c>
      <c r="V18" s="8">
        <f t="shared" si="10"/>
        <v>371.96305838257427</v>
      </c>
      <c r="W18" s="58" t="s">
        <v>244</v>
      </c>
      <c r="X18" s="8">
        <f t="shared" si="1"/>
        <v>6.0924983700594062</v>
      </c>
      <c r="Y18" s="58" t="s">
        <v>245</v>
      </c>
      <c r="Z18" s="58" t="s">
        <v>246</v>
      </c>
      <c r="AA18" s="8">
        <f t="shared" si="2"/>
        <v>115.83218230061419</v>
      </c>
      <c r="AJ18" s="58"/>
      <c r="AK18" s="58"/>
    </row>
    <row r="19" spans="1:37" s="8" customFormat="1" ht="15" customHeight="1">
      <c r="A19" s="8">
        <v>10689</v>
      </c>
      <c r="B19" s="8" t="s">
        <v>15</v>
      </c>
      <c r="C19" s="8">
        <v>104424</v>
      </c>
      <c r="D19" s="8">
        <v>1011</v>
      </c>
      <c r="E19" s="8">
        <f t="shared" si="3"/>
        <v>103.28783382789318</v>
      </c>
      <c r="F19" s="8">
        <f t="shared" si="4"/>
        <v>61972.700296735908</v>
      </c>
      <c r="G19" s="8">
        <f t="shared" si="5"/>
        <v>6197270.0296735903</v>
      </c>
      <c r="H19" s="8">
        <v>100</v>
      </c>
      <c r="I19" s="8" t="s">
        <v>247</v>
      </c>
      <c r="J19" s="8">
        <f t="shared" si="6"/>
        <v>1865378.2789317507</v>
      </c>
      <c r="K19" s="58" t="s">
        <v>248</v>
      </c>
      <c r="L19" s="23">
        <f t="shared" si="7"/>
        <v>914.03535667655785</v>
      </c>
      <c r="M19" s="58" t="s">
        <v>249</v>
      </c>
      <c r="N19" s="8">
        <f t="shared" si="8"/>
        <v>675.4721285839762</v>
      </c>
      <c r="O19" s="58" t="s">
        <v>250</v>
      </c>
      <c r="P19" s="58" t="s">
        <v>251</v>
      </c>
      <c r="Q19" s="8">
        <f t="shared" si="0"/>
        <v>293.83037593402963</v>
      </c>
      <c r="R19" s="9" t="s">
        <v>244</v>
      </c>
      <c r="S19" s="8">
        <f t="shared" si="9"/>
        <v>3.4733343553709197</v>
      </c>
      <c r="T19" s="62" t="s">
        <v>252</v>
      </c>
      <c r="U19" s="9" t="s">
        <v>253</v>
      </c>
      <c r="V19" s="8">
        <f t="shared" si="10"/>
        <v>280.60885449970328</v>
      </c>
      <c r="W19" s="58" t="s">
        <v>254</v>
      </c>
      <c r="X19" s="8">
        <f t="shared" si="1"/>
        <v>13.984740957151335</v>
      </c>
      <c r="Y19" s="58" t="s">
        <v>255</v>
      </c>
      <c r="Z19" s="58" t="s">
        <v>256</v>
      </c>
      <c r="AA19" s="8">
        <f t="shared" si="2"/>
        <v>31.477001192013294</v>
      </c>
      <c r="AJ19" s="58"/>
      <c r="AK19" s="58"/>
    </row>
    <row r="20" spans="1:37" s="10" customFormat="1" ht="15" customHeight="1">
      <c r="A20" s="10">
        <v>10690</v>
      </c>
      <c r="B20" s="10" t="s">
        <v>16</v>
      </c>
      <c r="C20" s="10">
        <v>164385</v>
      </c>
      <c r="D20" s="10">
        <v>1032</v>
      </c>
      <c r="E20" s="10">
        <f t="shared" si="3"/>
        <v>159.28779069767441</v>
      </c>
      <c r="F20" s="10">
        <f t="shared" si="4"/>
        <v>95572.674418604642</v>
      </c>
      <c r="G20" s="10">
        <f t="shared" si="5"/>
        <v>9557267.4418604635</v>
      </c>
      <c r="H20" s="10">
        <v>100</v>
      </c>
      <c r="I20" s="10" t="s">
        <v>191</v>
      </c>
      <c r="J20" s="10">
        <f t="shared" si="6"/>
        <v>2771607.5581395342</v>
      </c>
      <c r="K20" s="59" t="s">
        <v>88</v>
      </c>
      <c r="L20" s="24">
        <f t="shared" si="7"/>
        <v>5820.3758720930218</v>
      </c>
      <c r="M20" s="59" t="s">
        <v>257</v>
      </c>
      <c r="N20" s="10">
        <f t="shared" si="8"/>
        <v>4545.7135561046498</v>
      </c>
      <c r="O20" s="59" t="s">
        <v>125</v>
      </c>
      <c r="P20" s="59" t="s">
        <v>101</v>
      </c>
      <c r="Q20" s="10">
        <f t="shared" si="0"/>
        <v>604.57990296191849</v>
      </c>
      <c r="R20" s="11" t="s">
        <v>258</v>
      </c>
      <c r="S20" s="10">
        <f t="shared" si="9"/>
        <v>61.113946656976736</v>
      </c>
      <c r="T20" s="63" t="s">
        <v>259</v>
      </c>
      <c r="U20" s="11" t="s">
        <v>260</v>
      </c>
      <c r="V20" s="10">
        <f t="shared" si="10"/>
        <v>573.88906098837197</v>
      </c>
      <c r="W20" s="59" t="s">
        <v>261</v>
      </c>
      <c r="X20" s="10">
        <f t="shared" si="1"/>
        <v>34.922255232558129</v>
      </c>
      <c r="Y20" s="59" t="s">
        <v>262</v>
      </c>
      <c r="Z20" s="59" t="s">
        <v>263</v>
      </c>
      <c r="AA20" s="10">
        <f t="shared" si="2"/>
        <v>668.21989274738348</v>
      </c>
      <c r="AJ20" s="59"/>
      <c r="AK20" s="59"/>
    </row>
    <row r="21" spans="1:37" s="10" customFormat="1" ht="15" customHeight="1">
      <c r="A21" s="10">
        <v>10691</v>
      </c>
      <c r="B21" s="10" t="s">
        <v>16</v>
      </c>
      <c r="C21" s="10">
        <v>104958</v>
      </c>
      <c r="D21" s="10">
        <v>1003</v>
      </c>
      <c r="E21" s="10">
        <f t="shared" si="3"/>
        <v>104.64406779661017</v>
      </c>
      <c r="F21" s="10">
        <f t="shared" si="4"/>
        <v>62786.4406779661</v>
      </c>
      <c r="G21" s="10">
        <f t="shared" si="5"/>
        <v>6278644.0677966103</v>
      </c>
      <c r="H21" s="10">
        <v>100</v>
      </c>
      <c r="I21" s="10" t="s">
        <v>208</v>
      </c>
      <c r="J21" s="10">
        <f t="shared" si="6"/>
        <v>1845921.3559322034</v>
      </c>
      <c r="K21" s="59" t="s">
        <v>264</v>
      </c>
      <c r="L21" s="24">
        <f t="shared" si="7"/>
        <v>1569.0331525423728</v>
      </c>
      <c r="M21" s="59" t="s">
        <v>265</v>
      </c>
      <c r="N21" s="10">
        <f t="shared" si="8"/>
        <v>1129.7038698305084</v>
      </c>
      <c r="O21" s="59" t="s">
        <v>266</v>
      </c>
      <c r="P21" s="59" t="s">
        <v>267</v>
      </c>
      <c r="Q21" s="10">
        <f t="shared" si="0"/>
        <v>238.36751653423727</v>
      </c>
      <c r="R21" s="11" t="s">
        <v>268</v>
      </c>
      <c r="S21" s="10">
        <f t="shared" si="9"/>
        <v>48.326221098305084</v>
      </c>
      <c r="T21" s="63" t="s">
        <v>259</v>
      </c>
      <c r="U21" s="11" t="s">
        <v>142</v>
      </c>
      <c r="V21" s="10">
        <f t="shared" si="10"/>
        <v>225.94077396610166</v>
      </c>
      <c r="W21" s="59" t="s">
        <v>154</v>
      </c>
      <c r="X21" s="10">
        <f t="shared" si="1"/>
        <v>0</v>
      </c>
      <c r="Y21" s="59" t="s">
        <v>269</v>
      </c>
      <c r="Z21" s="59" t="s">
        <v>270</v>
      </c>
      <c r="AA21" s="10">
        <f t="shared" si="2"/>
        <v>68.573024898711864</v>
      </c>
      <c r="AJ21" s="59"/>
      <c r="AK21" s="59"/>
    </row>
    <row r="22" spans="1:37" s="10" customFormat="1" ht="15" customHeight="1">
      <c r="A22" s="10">
        <v>10692</v>
      </c>
      <c r="B22" s="10" t="s">
        <v>16</v>
      </c>
      <c r="C22" s="10">
        <v>85457</v>
      </c>
      <c r="D22" s="10">
        <v>999</v>
      </c>
      <c r="E22" s="10">
        <f t="shared" si="3"/>
        <v>85.542542542542549</v>
      </c>
      <c r="F22" s="10">
        <f t="shared" si="4"/>
        <v>51325.525525525532</v>
      </c>
      <c r="G22" s="10">
        <f t="shared" si="5"/>
        <v>5132552.5525525529</v>
      </c>
      <c r="H22" s="10">
        <v>100</v>
      </c>
      <c r="I22" s="10" t="s">
        <v>253</v>
      </c>
      <c r="J22" s="10">
        <f t="shared" si="6"/>
        <v>1575693.6336336336</v>
      </c>
      <c r="K22" s="59" t="s">
        <v>271</v>
      </c>
      <c r="L22" s="24">
        <f t="shared" si="7"/>
        <v>1733.2629969969971</v>
      </c>
      <c r="M22" s="59" t="s">
        <v>272</v>
      </c>
      <c r="N22" s="10">
        <f t="shared" si="8"/>
        <v>1301.6805107447449</v>
      </c>
      <c r="O22" s="59" t="s">
        <v>273</v>
      </c>
      <c r="P22" s="59" t="s">
        <v>274</v>
      </c>
      <c r="Q22" s="10">
        <f t="shared" si="0"/>
        <v>123.00880826537839</v>
      </c>
      <c r="R22" s="11" t="s">
        <v>275</v>
      </c>
      <c r="S22" s="10">
        <f t="shared" si="9"/>
        <v>66.730625384384382</v>
      </c>
      <c r="T22" s="63" t="s">
        <v>175</v>
      </c>
      <c r="U22" s="11" t="s">
        <v>276</v>
      </c>
      <c r="V22" s="10">
        <f t="shared" si="10"/>
        <v>117.86188379579582</v>
      </c>
      <c r="W22" s="59" t="s">
        <v>154</v>
      </c>
      <c r="X22" s="10">
        <f t="shared" si="1"/>
        <v>0</v>
      </c>
      <c r="Y22" s="59" t="s">
        <v>277</v>
      </c>
      <c r="Z22" s="59" t="s">
        <v>278</v>
      </c>
      <c r="AA22" s="10">
        <f t="shared" si="2"/>
        <v>148.39157822490091</v>
      </c>
      <c r="AJ22" s="59"/>
      <c r="AK22" s="59"/>
    </row>
    <row r="23" spans="1:37" s="10" customFormat="1" ht="15" customHeight="1">
      <c r="A23" s="10">
        <v>10693</v>
      </c>
      <c r="B23" s="10" t="s">
        <v>16</v>
      </c>
      <c r="C23" s="10">
        <v>118052</v>
      </c>
      <c r="D23" s="10">
        <v>1019</v>
      </c>
      <c r="E23" s="10">
        <f t="shared" si="3"/>
        <v>115.85083415112855</v>
      </c>
      <c r="F23" s="10">
        <f t="shared" si="4"/>
        <v>69510.500490677136</v>
      </c>
      <c r="G23" s="10">
        <f t="shared" si="5"/>
        <v>6951050.0490677133</v>
      </c>
      <c r="H23" s="10">
        <v>100</v>
      </c>
      <c r="I23" s="10" t="s">
        <v>279</v>
      </c>
      <c r="J23" s="10">
        <f t="shared" si="6"/>
        <v>1709958.3120706575</v>
      </c>
      <c r="K23" s="59" t="s">
        <v>280</v>
      </c>
      <c r="L23" s="24">
        <f t="shared" si="7"/>
        <v>4958.8791050049067</v>
      </c>
      <c r="M23" s="59" t="s">
        <v>272</v>
      </c>
      <c r="N23" s="10">
        <f t="shared" si="8"/>
        <v>3724.1182078586849</v>
      </c>
      <c r="O23" s="59" t="s">
        <v>195</v>
      </c>
      <c r="P23" s="59" t="s">
        <v>281</v>
      </c>
      <c r="Q23" s="10">
        <f t="shared" si="0"/>
        <v>446.89418494304215</v>
      </c>
      <c r="R23" s="11" t="s">
        <v>174</v>
      </c>
      <c r="S23" s="10">
        <f t="shared" si="9"/>
        <v>80.829729411579976</v>
      </c>
      <c r="T23" s="63" t="s">
        <v>282</v>
      </c>
      <c r="U23" s="11" t="s">
        <v>283</v>
      </c>
      <c r="V23" s="10">
        <f t="shared" si="10"/>
        <v>398.69388004239448</v>
      </c>
      <c r="W23" s="59" t="s">
        <v>271</v>
      </c>
      <c r="X23" s="10">
        <f t="shared" si="1"/>
        <v>5.4547670155053973</v>
      </c>
      <c r="Y23" s="59" t="s">
        <v>284</v>
      </c>
      <c r="Z23" s="59" t="s">
        <v>285</v>
      </c>
      <c r="AA23" s="10">
        <f t="shared" si="2"/>
        <v>543.72125834736801</v>
      </c>
      <c r="AJ23" s="59"/>
      <c r="AK23" s="59"/>
    </row>
    <row r="24" spans="1:37" s="10" customFormat="1" ht="15" customHeight="1">
      <c r="A24" s="10">
        <v>10694</v>
      </c>
      <c r="B24" s="10" t="s">
        <v>16</v>
      </c>
      <c r="C24" s="10">
        <v>82087</v>
      </c>
      <c r="D24" s="10">
        <v>1004</v>
      </c>
      <c r="E24" s="10">
        <f t="shared" si="3"/>
        <v>81.759960159362549</v>
      </c>
      <c r="F24" s="10">
        <f t="shared" si="4"/>
        <v>49055.976095617531</v>
      </c>
      <c r="G24" s="10">
        <f t="shared" si="5"/>
        <v>4905597.6095617535</v>
      </c>
      <c r="H24" s="10">
        <v>100</v>
      </c>
      <c r="I24" s="10" t="s">
        <v>286</v>
      </c>
      <c r="J24" s="10">
        <f t="shared" si="6"/>
        <v>1329416.9521912353</v>
      </c>
      <c r="K24" s="59" t="s">
        <v>287</v>
      </c>
      <c r="L24" s="24">
        <f t="shared" si="7"/>
        <v>2392.9505139442235</v>
      </c>
      <c r="M24" s="59" t="s">
        <v>288</v>
      </c>
      <c r="N24" s="10">
        <f t="shared" si="8"/>
        <v>1847.3577967649405</v>
      </c>
      <c r="O24" s="59" t="s">
        <v>158</v>
      </c>
      <c r="P24" s="59" t="s">
        <v>101</v>
      </c>
      <c r="Q24" s="10">
        <f t="shared" si="0"/>
        <v>249.39330256326699</v>
      </c>
      <c r="R24" s="11" t="s">
        <v>289</v>
      </c>
      <c r="S24" s="10">
        <f t="shared" si="9"/>
        <v>33.979897298007977</v>
      </c>
      <c r="T24" s="63" t="s">
        <v>197</v>
      </c>
      <c r="U24" s="11" t="s">
        <v>245</v>
      </c>
      <c r="V24" s="10">
        <f t="shared" si="10"/>
        <v>219.67285718007975</v>
      </c>
      <c r="W24" s="59" t="s">
        <v>290</v>
      </c>
      <c r="X24" s="10">
        <f t="shared" si="1"/>
        <v>15.075588237848608</v>
      </c>
      <c r="Y24" s="59" t="s">
        <v>291</v>
      </c>
      <c r="Z24" s="59" t="s">
        <v>245</v>
      </c>
      <c r="AA24" s="10">
        <f t="shared" si="2"/>
        <v>219.8355778150279</v>
      </c>
      <c r="AJ24" s="59"/>
      <c r="AK24" s="59"/>
    </row>
    <row r="25" spans="1:37" s="10" customFormat="1" ht="15" customHeight="1">
      <c r="A25" s="10">
        <v>10695</v>
      </c>
      <c r="B25" s="10" t="s">
        <v>16</v>
      </c>
      <c r="C25" s="10">
        <v>114463</v>
      </c>
      <c r="D25" s="10">
        <v>1010</v>
      </c>
      <c r="E25" s="10">
        <f t="shared" si="3"/>
        <v>113.32970297029703</v>
      </c>
      <c r="F25" s="10">
        <f t="shared" si="4"/>
        <v>67997.821782178216</v>
      </c>
      <c r="G25" s="10">
        <f t="shared" si="5"/>
        <v>6799782.1782178218</v>
      </c>
      <c r="H25" s="10">
        <v>100</v>
      </c>
      <c r="I25" s="10" t="s">
        <v>292</v>
      </c>
      <c r="J25" s="10">
        <f t="shared" si="6"/>
        <v>2012735.5247524751</v>
      </c>
      <c r="K25" s="59" t="s">
        <v>293</v>
      </c>
      <c r="L25" s="24">
        <f t="shared" si="7"/>
        <v>3824.1974970297028</v>
      </c>
      <c r="M25" s="59" t="s">
        <v>294</v>
      </c>
      <c r="N25" s="10">
        <f t="shared" si="8"/>
        <v>3093.77577509703</v>
      </c>
      <c r="O25" s="59" t="s">
        <v>295</v>
      </c>
      <c r="P25" s="59" t="s">
        <v>296</v>
      </c>
      <c r="Q25" s="10">
        <f t="shared" si="0"/>
        <v>358.8779899112555</v>
      </c>
      <c r="R25" s="11" t="s">
        <v>297</v>
      </c>
      <c r="S25" s="10">
        <f t="shared" si="9"/>
        <v>76.86636969029702</v>
      </c>
      <c r="T25" s="63" t="s">
        <v>298</v>
      </c>
      <c r="U25" s="11" t="s">
        <v>299</v>
      </c>
      <c r="V25" s="10">
        <f t="shared" si="10"/>
        <v>323.52710824871286</v>
      </c>
      <c r="W25" s="59" t="s">
        <v>300</v>
      </c>
      <c r="X25" s="10">
        <f t="shared" si="1"/>
        <v>15.296789988118812</v>
      </c>
      <c r="Y25" s="59" t="s">
        <v>301</v>
      </c>
      <c r="Z25" s="59" t="s">
        <v>91</v>
      </c>
      <c r="AA25" s="10">
        <f t="shared" si="2"/>
        <v>389.81574766222576</v>
      </c>
      <c r="AJ25" s="59"/>
      <c r="AK25" s="59"/>
    </row>
    <row r="26" spans="1:37"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E26" s="5"/>
    </row>
    <row r="27" spans="1:37"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E27" s="5"/>
    </row>
    <row r="28" spans="1:37"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E28" s="5"/>
    </row>
    <row r="29" spans="1:37"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E29" s="5"/>
    </row>
    <row r="30" spans="1:37"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E30" s="5"/>
    </row>
    <row r="31" spans="1:37"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E31" s="5"/>
    </row>
    <row r="32" spans="1:37"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E32" s="5"/>
    </row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7B14E5-2A1A-4BA3-8A0C-D637DE9C5A15}"/>
</file>

<file path=customXml/itemProps2.xml><?xml version="1.0" encoding="utf-8"?>
<ds:datastoreItem xmlns:ds="http://schemas.openxmlformats.org/officeDocument/2006/customXml" ds:itemID="{4E405B65-D79E-4B07-9CD6-4D3E9984DBA6}"/>
</file>

<file path=customXml/itemProps3.xml><?xml version="1.0" encoding="utf-8"?>
<ds:datastoreItem xmlns:ds="http://schemas.openxmlformats.org/officeDocument/2006/customXml" ds:itemID="{979353B5-E3DA-4B58-AB77-594DFF9A4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Taylah Bennett</cp:lastModifiedBy>
  <cp:revision/>
  <dcterms:created xsi:type="dcterms:W3CDTF">2026-04-24T03:42:05Z</dcterms:created>
  <dcterms:modified xsi:type="dcterms:W3CDTF">2026-08-12T06:30:36Z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
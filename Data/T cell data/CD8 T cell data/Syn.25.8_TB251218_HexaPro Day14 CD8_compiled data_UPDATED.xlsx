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443623_ad_unsw_edu_au/Documents/Synergy/Data/T cell data/CD8 T cell data/"/>
    </mc:Choice>
  </mc:AlternateContent>
  <xr:revisionPtr revIDLastSave="5" documentId="13_ncr:1_{5566868A-5F26-B14D-92A0-D58EC7954BA4}" xr6:coauthVersionLast="47" xr6:coauthVersionMax="47" xr10:uidLastSave="{C15C39BC-4DCD-4E09-93DE-A24850CAD3B9}"/>
  <bookViews>
    <workbookView xWindow="-108" yWindow="-108" windowWidth="23256" windowHeight="12456" xr2:uid="{715B3BFF-636C-194E-90D4-36818E15DA5F}"/>
  </bookViews>
  <sheets>
    <sheet name="Start here" sheetId="2" r:id="rId1"/>
    <sheet name="Dictionary" sheetId="7" r:id="rId2"/>
    <sheet name="Processed data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L2" i="8" s="1"/>
  <c r="F3" i="8"/>
  <c r="F4" i="8"/>
  <c r="F5" i="8"/>
  <c r="F6" i="8"/>
  <c r="F7" i="8"/>
  <c r="F8" i="8"/>
  <c r="F9" i="8"/>
  <c r="G9" i="8" s="1"/>
  <c r="J9" i="8" s="1"/>
  <c r="L9" i="8" s="1"/>
  <c r="S9" i="8" s="1"/>
  <c r="F10" i="8"/>
  <c r="F11" i="8"/>
  <c r="F12" i="8"/>
  <c r="F13" i="8"/>
  <c r="F14" i="8"/>
  <c r="F15" i="8"/>
  <c r="F16" i="8"/>
  <c r="F17" i="8"/>
  <c r="G17" i="8" s="1"/>
  <c r="J17" i="8" s="1"/>
  <c r="L17" i="8" s="1"/>
  <c r="S17" i="8" s="1"/>
  <c r="F18" i="8"/>
  <c r="F19" i="8"/>
  <c r="F20" i="8"/>
  <c r="F21" i="8"/>
  <c r="F22" i="8"/>
  <c r="F23" i="8"/>
  <c r="F24" i="8"/>
  <c r="F2" i="8"/>
  <c r="E2" i="8"/>
  <c r="E3" i="8"/>
  <c r="G3" i="8" s="1"/>
  <c r="J3" i="8" s="1"/>
  <c r="L3" i="8" s="1"/>
  <c r="S3" i="8" s="1"/>
  <c r="E4" i="8"/>
  <c r="G4" i="8"/>
  <c r="J4" i="8" s="1"/>
  <c r="L4" i="8" s="1"/>
  <c r="S4" i="8" s="1"/>
  <c r="E5" i="8"/>
  <c r="G5" i="8" s="1"/>
  <c r="J5" i="8" s="1"/>
  <c r="L5" i="8" s="1"/>
  <c r="S5" i="8" s="1"/>
  <c r="E6" i="8"/>
  <c r="E7" i="8"/>
  <c r="E8" i="8"/>
  <c r="E9" i="8"/>
  <c r="E10" i="8"/>
  <c r="E11" i="8"/>
  <c r="E12" i="8"/>
  <c r="E13" i="8"/>
  <c r="G13" i="8" s="1"/>
  <c r="J13" i="8" s="1"/>
  <c r="L13" i="8" s="1"/>
  <c r="S13" i="8" s="1"/>
  <c r="E14" i="8"/>
  <c r="G14" i="8" s="1"/>
  <c r="J14" i="8" s="1"/>
  <c r="L14" i="8" s="1"/>
  <c r="S14" i="8" s="1"/>
  <c r="E15" i="8"/>
  <c r="G15" i="8" s="1"/>
  <c r="J15" i="8" s="1"/>
  <c r="L15" i="8" s="1"/>
  <c r="S15" i="8" s="1"/>
  <c r="E16" i="8"/>
  <c r="G16" i="8" s="1"/>
  <c r="J16" i="8" s="1"/>
  <c r="L16" i="8" s="1"/>
  <c r="S16" i="8" s="1"/>
  <c r="E17" i="8"/>
  <c r="E18" i="8"/>
  <c r="E19" i="8"/>
  <c r="E20" i="8"/>
  <c r="E21" i="8"/>
  <c r="E22" i="8"/>
  <c r="E23" i="8"/>
  <c r="G23" i="8" s="1"/>
  <c r="J23" i="8" s="1"/>
  <c r="L23" i="8" s="1"/>
  <c r="S23" i="8" s="1"/>
  <c r="E24" i="8"/>
  <c r="G24" i="8" s="1"/>
  <c r="J24" i="8" s="1"/>
  <c r="L24" i="8" s="1"/>
  <c r="S24" i="8" s="1"/>
  <c r="S2" i="8" l="1"/>
  <c r="AA2" i="8"/>
  <c r="N2" i="8"/>
  <c r="Q2" i="8"/>
  <c r="X2" i="8"/>
  <c r="V2" i="8"/>
  <c r="G7" i="8"/>
  <c r="J7" i="8" s="1"/>
  <c r="L7" i="8" s="1"/>
  <c r="S7" i="8" s="1"/>
  <c r="G12" i="8"/>
  <c r="J12" i="8" s="1"/>
  <c r="L12" i="8" s="1"/>
  <c r="S12" i="8" s="1"/>
  <c r="G20" i="8"/>
  <c r="J20" i="8" s="1"/>
  <c r="L20" i="8" s="1"/>
  <c r="S20" i="8" s="1"/>
  <c r="G19" i="8"/>
  <c r="J19" i="8" s="1"/>
  <c r="L19" i="8" s="1"/>
  <c r="S19" i="8" s="1"/>
  <c r="G6" i="8"/>
  <c r="J6" i="8" s="1"/>
  <c r="L6" i="8" s="1"/>
  <c r="S6" i="8" s="1"/>
  <c r="G10" i="8"/>
  <c r="J10" i="8" s="1"/>
  <c r="L10" i="8" s="1"/>
  <c r="S10" i="8" s="1"/>
  <c r="G18" i="8"/>
  <c r="J18" i="8" s="1"/>
  <c r="L18" i="8" s="1"/>
  <c r="S18" i="8" s="1"/>
  <c r="G22" i="8"/>
  <c r="J22" i="8" s="1"/>
  <c r="L22" i="8" s="1"/>
  <c r="S22" i="8" s="1"/>
  <c r="G21" i="8"/>
  <c r="J21" i="8" s="1"/>
  <c r="L21" i="8" s="1"/>
  <c r="S21" i="8" s="1"/>
  <c r="G11" i="8"/>
  <c r="J11" i="8" s="1"/>
  <c r="L11" i="8" s="1"/>
  <c r="S11" i="8" s="1"/>
  <c r="G8" i="8"/>
  <c r="J8" i="8" s="1"/>
  <c r="L8" i="8" s="1"/>
  <c r="S8" i="8" s="1"/>
  <c r="G2" i="8"/>
  <c r="V23" i="8"/>
  <c r="N23" i="8"/>
  <c r="V13" i="8"/>
  <c r="N13" i="8"/>
  <c r="X12" i="8"/>
  <c r="N12" i="8"/>
  <c r="Q12" i="8"/>
  <c r="V4" i="8"/>
  <c r="N4" i="8"/>
  <c r="V19" i="8"/>
  <c r="N19" i="8"/>
  <c r="Q19" i="8"/>
  <c r="X19" i="8"/>
  <c r="AA19" i="8"/>
  <c r="Q6" i="8"/>
  <c r="AA6" i="8"/>
  <c r="Q7" i="8"/>
  <c r="N7" i="8"/>
  <c r="V7" i="8"/>
  <c r="X7" i="8"/>
  <c r="AA7" i="8"/>
  <c r="N16" i="8"/>
  <c r="Q16" i="8"/>
  <c r="V16" i="8"/>
  <c r="X16" i="8"/>
  <c r="AA16" i="8"/>
  <c r="V10" i="8"/>
  <c r="X10" i="8"/>
  <c r="AA10" i="8"/>
  <c r="N10" i="8"/>
  <c r="Q10" i="8"/>
  <c r="N9" i="8"/>
  <c r="X9" i="8"/>
  <c r="AA9" i="8"/>
  <c r="Q9" i="8"/>
  <c r="V9" i="8"/>
  <c r="N8" i="8"/>
  <c r="AA8" i="8"/>
  <c r="Q8" i="8"/>
  <c r="V8" i="8"/>
  <c r="X8" i="8"/>
  <c r="X3" i="8"/>
  <c r="AA3" i="8"/>
  <c r="Q3" i="8"/>
  <c r="V3" i="8"/>
  <c r="N3" i="8"/>
  <c r="Q15" i="8"/>
  <c r="V15" i="8"/>
  <c r="X15" i="8"/>
  <c r="AA15" i="8"/>
  <c r="N15" i="8"/>
  <c r="N18" i="8"/>
  <c r="Q17" i="8"/>
  <c r="N17" i="8"/>
  <c r="V17" i="8"/>
  <c r="X17" i="8"/>
  <c r="AA17" i="8"/>
  <c r="V20" i="8"/>
  <c r="X20" i="8"/>
  <c r="AA20" i="8"/>
  <c r="N20" i="8"/>
  <c r="Q20" i="8"/>
  <c r="Q24" i="8"/>
  <c r="V22" i="8"/>
  <c r="Q14" i="8"/>
  <c r="V12" i="8"/>
  <c r="Q5" i="8"/>
  <c r="N24" i="8"/>
  <c r="Q23" i="8"/>
  <c r="N14" i="8"/>
  <c r="Q13" i="8"/>
  <c r="N5" i="8"/>
  <c r="Q4" i="8"/>
  <c r="AA13" i="8"/>
  <c r="X5" i="8"/>
  <c r="AA24" i="8"/>
  <c r="X24" i="8"/>
  <c r="AA23" i="8"/>
  <c r="X14" i="8"/>
  <c r="V24" i="8"/>
  <c r="X23" i="8"/>
  <c r="V14" i="8"/>
  <c r="X13" i="8"/>
  <c r="AA12" i="8"/>
  <c r="V5" i="8"/>
  <c r="X4" i="8"/>
  <c r="AA14" i="8"/>
  <c r="AA5" i="8"/>
  <c r="AA4" i="8"/>
  <c r="V21" i="8" l="1"/>
  <c r="Q21" i="8"/>
  <c r="AA21" i="8"/>
  <c r="Q22" i="8"/>
  <c r="V11" i="8"/>
  <c r="N22" i="8"/>
  <c r="X11" i="8"/>
  <c r="AA11" i="8"/>
  <c r="X18" i="8"/>
  <c r="N6" i="8"/>
  <c r="X22" i="8"/>
  <c r="N21" i="8"/>
  <c r="AA22" i="8"/>
  <c r="X21" i="8"/>
  <c r="V18" i="8"/>
  <c r="X6" i="8"/>
  <c r="Q11" i="8"/>
  <c r="N11" i="8"/>
  <c r="AA18" i="8"/>
  <c r="Q18" i="8"/>
  <c r="V6" i="8"/>
</calcChain>
</file>

<file path=xl/sharedStrings.xml><?xml version="1.0" encoding="utf-8"?>
<sst xmlns="http://schemas.openxmlformats.org/spreadsheetml/2006/main" count="395" uniqueCount="295">
  <si>
    <t>Experiment code:</t>
  </si>
  <si>
    <t>Syn.25.8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</si>
  <si>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</si>
  <si>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</si>
  <si>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</si>
  <si>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</si>
  <si>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</si>
  <si>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</si>
  <si>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</si>
  <si>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</si>
  <si>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</si>
  <si>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</si>
  <si>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</si>
  <si>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</si>
  <si>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</si>
  <si>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IC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</si>
  <si>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</si>
  <si>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</si>
  <si>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</si>
  <si>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</si>
  <si>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</si>
  <si>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10 µL of cell pellet resuspension (total 110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</si>
  <si>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</si>
  <si>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</si>
  <si>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</si>
  <si>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</si>
  <si>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</si>
  <si>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</si>
  <si>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</si>
  <si>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</si>
  <si>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</si>
  <si>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</si>
  <si>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</si>
  <si>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</si>
  <si>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</si>
  <si>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</si>
  <si>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</si>
  <si>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</si>
  <si>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</si>
  <si>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</si>
  <si>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</si>
  <si>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</si>
  <si>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</si>
  <si>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</si>
  <si>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</si>
  <si>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</si>
  <si>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</si>
  <si>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</si>
  <si>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</si>
  <si>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</si>
  <si>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</si>
  <si>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</si>
  <si>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</si>
  <si>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</si>
  <si>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</si>
  <si>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</si>
  <si>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</si>
  <si>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</si>
  <si>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</si>
  <si>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</si>
  <si>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</si>
  <si>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</si>
  <si>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</si>
  <si>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</si>
  <si>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</si>
  <si>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tetramer)</t>
  </si>
  <si>
    <t>Number of CXCR5+ PD-1+ CD127+ KLRG1- TFH like</t>
  </si>
  <si>
    <t>CD127+ KLRG1- CD62L+ TCF1+ SLAMF6+ Tscm (%TCM)</t>
  </si>
  <si>
    <t>CD127+ KLRG1- CD62L+ TCF1+ SLAMF6+ Tscm (% tetramer)</t>
  </si>
  <si>
    <t xml:space="preserve">Number of CD127+ KLRG1- TCF1+ SLAMF6+ Tscm 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</si>
  <si>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</si>
  <si>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</si>
  <si>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</si>
  <si>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</si>
  <si>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</si>
  <si>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21.1 %</t>
  </si>
  <si>
    <t>0.12 %</t>
  </si>
  <si>
    <t>74.6 %</t>
  </si>
  <si>
    <t>22.7 %</t>
  </si>
  <si>
    <t>16.9 %</t>
  </si>
  <si>
    <t>8.03 %</t>
  </si>
  <si>
    <t>85.0 %</t>
  </si>
  <si>
    <t>14.4 %</t>
  </si>
  <si>
    <t>2.96 %</t>
  </si>
  <si>
    <t>9.35 %</t>
  </si>
  <si>
    <t>6.98 %</t>
  </si>
  <si>
    <t>22.8 %</t>
  </si>
  <si>
    <t>0.062 %</t>
  </si>
  <si>
    <t>70.2 %</t>
  </si>
  <si>
    <t>23.0 %</t>
  </si>
  <si>
    <t>16.2 %</t>
  </si>
  <si>
    <t>7.07 %</t>
  </si>
  <si>
    <t>84.4 %</t>
  </si>
  <si>
    <t>13.6 %</t>
  </si>
  <si>
    <t>3.54 %</t>
  </si>
  <si>
    <t>7.19 %</t>
  </si>
  <si>
    <t>5.05 %</t>
  </si>
  <si>
    <t>23.7 %</t>
  </si>
  <si>
    <t>0.064 %</t>
  </si>
  <si>
    <t>71.1 %</t>
  </si>
  <si>
    <t>22.5 %</t>
  </si>
  <si>
    <t>16.0 %</t>
  </si>
  <si>
    <t>14.2 %</t>
  </si>
  <si>
    <t>88.5 %</t>
  </si>
  <si>
    <t>3.69 %</t>
  </si>
  <si>
    <t>9.96 %</t>
  </si>
  <si>
    <t>7.08 %</t>
  </si>
  <si>
    <t>TM</t>
  </si>
  <si>
    <t>20.9 %</t>
  </si>
  <si>
    <t>70.5 %</t>
  </si>
  <si>
    <t>11.0 %</t>
  </si>
  <si>
    <t>7.78 %</t>
  </si>
  <si>
    <t>7.55 %</t>
  </si>
  <si>
    <t>87.9 %</t>
  </si>
  <si>
    <t>6.84 %</t>
  </si>
  <si>
    <t>2.36 %</t>
  </si>
  <si>
    <t>14.0 %</t>
  </si>
  <si>
    <t>9.91 %</t>
  </si>
  <si>
    <t>0.065 %</t>
  </si>
  <si>
    <t>72.1 %</t>
  </si>
  <si>
    <t>17.1 %</t>
  </si>
  <si>
    <t>12.3 %</t>
  </si>
  <si>
    <t>6.17 %</t>
  </si>
  <si>
    <t>82.0 %</t>
  </si>
  <si>
    <t>10.1 %</t>
  </si>
  <si>
    <t>2.72 %</t>
  </si>
  <si>
    <t>13.7 %</t>
  </si>
  <si>
    <t>9.88 %</t>
  </si>
  <si>
    <t>TMd21</t>
  </si>
  <si>
    <t>26.8 %</t>
  </si>
  <si>
    <t>0.093 %</t>
  </si>
  <si>
    <t>67.8 %</t>
  </si>
  <si>
    <t>31.6 %</t>
  </si>
  <si>
    <t>21.4 %</t>
  </si>
  <si>
    <t>3.11 %</t>
  </si>
  <si>
    <t>90.8 %</t>
  </si>
  <si>
    <t>19.5 %</t>
  </si>
  <si>
    <t>0.82 %</t>
  </si>
  <si>
    <t>13.5 %</t>
  </si>
  <si>
    <t>9.17 %</t>
  </si>
  <si>
    <t>0.056 %</t>
  </si>
  <si>
    <t>46.7 %</t>
  </si>
  <si>
    <t>23.3 %</t>
  </si>
  <si>
    <t>10.9 %</t>
  </si>
  <si>
    <t>7.61 %</t>
  </si>
  <si>
    <t>83.3 %</t>
  </si>
  <si>
    <t>9.06 %</t>
  </si>
  <si>
    <t>4.71 %</t>
  </si>
  <si>
    <t>8.53 %</t>
  </si>
  <si>
    <t>3.99 %</t>
  </si>
  <si>
    <t>27.1 %</t>
  </si>
  <si>
    <t>0.024 %</t>
  </si>
  <si>
    <t>62.7 %</t>
  </si>
  <si>
    <t>23.1 %</t>
  </si>
  <si>
    <t>14.5 %</t>
  </si>
  <si>
    <t>4.82 %</t>
  </si>
  <si>
    <t>100 %</t>
  </si>
  <si>
    <t>1.20 %</t>
  </si>
  <si>
    <t>5.77 %</t>
  </si>
  <si>
    <t>3.61 %</t>
  </si>
  <si>
    <t>20.0 %</t>
  </si>
  <si>
    <t>0.050 %</t>
  </si>
  <si>
    <t>66.8 %</t>
  </si>
  <si>
    <t>9.68 %</t>
  </si>
  <si>
    <t>76.2 %</t>
  </si>
  <si>
    <t>7.37 %</t>
  </si>
  <si>
    <t>0.92 %</t>
  </si>
  <si>
    <t>2.07 %</t>
  </si>
  <si>
    <t>1.38 %</t>
  </si>
  <si>
    <t>24.3 %</t>
  </si>
  <si>
    <t>0.059 %</t>
  </si>
  <si>
    <t>71.4 %</t>
  </si>
  <si>
    <t>8.00 %</t>
  </si>
  <si>
    <t>5.71 %</t>
  </si>
  <si>
    <t>7.62 %</t>
  </si>
  <si>
    <t>4.76 %</t>
  </si>
  <si>
    <t>4.00 %</t>
  </si>
  <si>
    <t>2.86 %</t>
  </si>
  <si>
    <t>24.8 %</t>
  </si>
  <si>
    <t>0.042 %</t>
  </si>
  <si>
    <t>67.1 %</t>
  </si>
  <si>
    <t>11.5 %</t>
  </si>
  <si>
    <t>7.74 %</t>
  </si>
  <si>
    <t>8.39 %</t>
  </si>
  <si>
    <t>75.0 %</t>
  </si>
  <si>
    <t>5.81 %</t>
  </si>
  <si>
    <t>2.58 %</t>
  </si>
  <si>
    <t>SOL</t>
  </si>
  <si>
    <t>26.6 %</t>
  </si>
  <si>
    <t>0.066 %</t>
  </si>
  <si>
    <t>70.1 %</t>
  </si>
  <si>
    <t>34.3 %</t>
  </si>
  <si>
    <t>24.0 %</t>
  </si>
  <si>
    <t>95.1 %</t>
  </si>
  <si>
    <t>3.94 %</t>
  </si>
  <si>
    <t>3.37 %</t>
  </si>
  <si>
    <t>26.0 %</t>
  </si>
  <si>
    <t>0.037 %</t>
  </si>
  <si>
    <t>72.8 %</t>
  </si>
  <si>
    <t>30.5 %</t>
  </si>
  <si>
    <t>22.2 %</t>
  </si>
  <si>
    <t>10.5 %</t>
  </si>
  <si>
    <t>88.9 %</t>
  </si>
  <si>
    <t>19.8 %</t>
  </si>
  <si>
    <t>0 %</t>
  </si>
  <si>
    <t>6.78 %</t>
  </si>
  <si>
    <t>4.94 %</t>
  </si>
  <si>
    <t>21.6 %</t>
  </si>
  <si>
    <t>0.061 %</t>
  </si>
  <si>
    <t>70.7 %</t>
  </si>
  <si>
    <t>39.3 %</t>
  </si>
  <si>
    <t>27.8 %</t>
  </si>
  <si>
    <t>15.4 %</t>
  </si>
  <si>
    <t>23.5 %</t>
  </si>
  <si>
    <t>1.45 %</t>
  </si>
  <si>
    <t>5.33 %</t>
  </si>
  <si>
    <t>3.77 %</t>
  </si>
  <si>
    <t>24.5 %</t>
  </si>
  <si>
    <t>0.076 %</t>
  </si>
  <si>
    <t>78.3 %</t>
  </si>
  <si>
    <t>15.9 %</t>
  </si>
  <si>
    <t>12.4 %</t>
  </si>
  <si>
    <t>6.83 %</t>
  </si>
  <si>
    <t>95.0 %</t>
  </si>
  <si>
    <t>11.8 %</t>
  </si>
  <si>
    <t>0.62 %</t>
  </si>
  <si>
    <t>3.97 %</t>
  </si>
  <si>
    <t>25.4 %</t>
  </si>
  <si>
    <t>68.5 %</t>
  </si>
  <si>
    <t>38.8 %</t>
  </si>
  <si>
    <t>26.5 %</t>
  </si>
  <si>
    <t>92.8 %</t>
  </si>
  <si>
    <t>24.6 %</t>
  </si>
  <si>
    <t>3.08 %</t>
  </si>
  <si>
    <t>4.49 %</t>
  </si>
  <si>
    <t>0.035 %</t>
  </si>
  <si>
    <t>68.8 %</t>
  </si>
  <si>
    <t>26.3 %</t>
  </si>
  <si>
    <t>18.1 %</t>
  </si>
  <si>
    <t>9.42 %</t>
  </si>
  <si>
    <t>92.0 %</t>
  </si>
  <si>
    <t>16.7 %</t>
  </si>
  <si>
    <t>2.17 %</t>
  </si>
  <si>
    <t>3.16 %</t>
  </si>
  <si>
    <t>IC</t>
  </si>
  <si>
    <t>0.072 %</t>
  </si>
  <si>
    <t>82.3 %</t>
  </si>
  <si>
    <t>11.3 %</t>
  </si>
  <si>
    <t>3.41 %</t>
  </si>
  <si>
    <t>90.9 %</t>
  </si>
  <si>
    <t>10.2 %</t>
  </si>
  <si>
    <t>0.34 %</t>
  </si>
  <si>
    <t>17.0 %</t>
  </si>
  <si>
    <t>25.7 %</t>
  </si>
  <si>
    <t>0.10 %</t>
  </si>
  <si>
    <t>83.2 %</t>
  </si>
  <si>
    <t>19.4 %</t>
  </si>
  <si>
    <t>2.40 %</t>
  </si>
  <si>
    <t>90.7 %</t>
  </si>
  <si>
    <t>14.7 %</t>
  </si>
  <si>
    <t>0.90 %</t>
  </si>
  <si>
    <t>8.38 %</t>
  </si>
  <si>
    <t>27.2 %</t>
  </si>
  <si>
    <t>0.073 %</t>
  </si>
  <si>
    <t>81.3 %</t>
  </si>
  <si>
    <t>21.7 %</t>
  </si>
  <si>
    <t>17.6 %</t>
  </si>
  <si>
    <t>85.1 %</t>
  </si>
  <si>
    <t>15.0 %</t>
  </si>
  <si>
    <t>0.75 %</t>
  </si>
  <si>
    <t>5.53 %</t>
  </si>
  <si>
    <t>26.4 %</t>
  </si>
  <si>
    <t>0.074 %</t>
  </si>
  <si>
    <t>12.7 %</t>
  </si>
  <si>
    <t>9.55 %</t>
  </si>
  <si>
    <t>3.64 %</t>
  </si>
  <si>
    <t>90.5 %</t>
  </si>
  <si>
    <t>8.64 %</t>
  </si>
  <si>
    <t>2.73 %</t>
  </si>
  <si>
    <t>15.2 %</t>
  </si>
  <si>
    <t>11.4 %</t>
  </si>
  <si>
    <t>0.090 %</t>
  </si>
  <si>
    <t>78.9 %</t>
  </si>
  <si>
    <t>6.32 %</t>
  </si>
  <si>
    <t>5.26 %</t>
  </si>
  <si>
    <t>2.11 %</t>
  </si>
  <si>
    <t>18.7 %</t>
  </si>
  <si>
    <t>24.1 %</t>
  </si>
  <si>
    <t>0.075 %</t>
  </si>
  <si>
    <t>13.0 %</t>
  </si>
  <si>
    <t>9.09 %</t>
  </si>
  <si>
    <t>9.52 %</t>
  </si>
  <si>
    <t>95.2 %</t>
  </si>
  <si>
    <t>8.66 %</t>
  </si>
  <si>
    <t>1.73 %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</si>
</sst>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5" tint="0.39997558519241921"/>
      <name val="Helvetica"/>
      <family val="2"/>
    </font>
    <font>
      <sz val="12"/>
      <color theme="8" tint="0.39997558519241921"/>
      <name val="Helvetica"/>
      <family val="2"/>
    </font>
    <font>
      <sz val="12"/>
      <color theme="6" tint="0.39997558519241921"/>
      <name val="Helvetica"/>
      <family val="2"/>
    </font>
    <font>
      <b/>
      <i/>
      <sz val="12"/>
      <color theme="1"/>
      <name val="Helvetica"/>
      <family val="2"/>
    </font>
    <font>
      <b/>
      <i/>
      <sz val="12"/>
      <color theme="3" tint="0.499984740745262"/>
      <name val="Helvetica"/>
      <family val="2"/>
    </font>
    <font>
      <b/>
      <i/>
      <sz val="12"/>
      <color theme="5" tint="0.39997558519241921"/>
      <name val="Helvetica"/>
      <family val="2"/>
    </font>
    <font>
      <b/>
      <i/>
      <sz val="12"/>
      <color theme="6" tint="0.39997558519241921"/>
      <name val="Helvetica"/>
      <family val="2"/>
    </font>
    <font>
      <b/>
      <i/>
      <sz val="12"/>
      <color theme="8" tint="0.39997558519241921"/>
      <name val="Helvetica"/>
      <family val="2"/>
    </font>
    <font>
      <b/>
      <sz val="14"/>
      <color theme="1"/>
      <name val="Helvetica"/>
      <family val="2"/>
    </font>
    <font>
      <sz val="14"/>
      <color theme="1"/>
      <name val="Aptos Narrow"/>
      <family val="2"/>
      <scheme val="minor"/>
    </font>
    <font>
      <sz val="14"/>
      <color theme="3" tint="0.499984740745262"/>
      <name val="Helvetica"/>
      <family val="2"/>
    </font>
    <font>
      <sz val="14"/>
      <color theme="5" tint="0.39997558519241921"/>
      <name val="Helvetica"/>
      <family val="2"/>
    </font>
    <font>
      <sz val="14"/>
      <color theme="6" tint="0.39997558519241921"/>
      <name val="Helvetica"/>
      <family val="2"/>
    </font>
    <font>
      <sz val="14"/>
      <color theme="8" tint="0.39997558519241921"/>
      <name val="Helvetica"/>
      <family val="2"/>
    </font>
    <font>
      <sz val="14"/>
      <color theme="1"/>
      <name val="Helvetica"/>
      <family val="2"/>
    </font>
    <font>
      <sz val="16"/>
      <color theme="1"/>
      <name val="Helvetica"/>
      <family val="2"/>
    </font>
    <font>
      <b/>
      <sz val="12"/>
      <color theme="3" tint="0.499984740745262"/>
      <name val="Helvetica"/>
      <family val="2"/>
    </font>
    <font>
      <sz val="10"/>
      <color theme="3" tint="0.499984740745262"/>
      <name val="Helvetica"/>
      <family val="2"/>
    </font>
    <font>
      <b/>
      <sz val="12"/>
      <color theme="5" tint="0.39997558519241921"/>
      <name val="Helvetica"/>
      <family val="2"/>
    </font>
    <font>
      <sz val="10"/>
      <color theme="5" tint="0.39997558519241921"/>
      <name val="Helvetica"/>
      <family val="2"/>
    </font>
    <font>
      <b/>
      <sz val="12"/>
      <color theme="6" tint="0.39997558519241921"/>
      <name val="Helvetica"/>
      <family val="2"/>
    </font>
    <font>
      <sz val="10"/>
      <color theme="6" tint="0.39997558519241921"/>
      <name val="Helvetica"/>
      <family val="2"/>
    </font>
    <font>
      <b/>
      <sz val="12"/>
      <color theme="8" tint="0.39997558519241921"/>
      <name val="Helvetica"/>
      <family val="2"/>
    </font>
    <font>
      <sz val="10"/>
      <color theme="8" tint="0.39997558519241921"/>
      <name val="Helvetica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13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0" xfId="0" applyFont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" fillId="0" borderId="0" xfId="0" applyFont="1"/>
    <xf numFmtId="0" fontId="19" fillId="0" borderId="0" xfId="0" applyFont="1"/>
    <xf numFmtId="0" fontId="18" fillId="0" borderId="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4" fillId="0" borderId="22" xfId="0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14" fillId="0" borderId="24" xfId="0" applyFont="1" applyBorder="1" applyAlignment="1">
      <alignment horizontal="center" wrapText="1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3" fillId="0" borderId="0" xfId="0" applyFont="1"/>
    <xf numFmtId="0" fontId="20" fillId="0" borderId="0" xfId="0" applyFont="1"/>
    <xf numFmtId="0" fontId="21" fillId="0" borderId="0" xfId="0" applyFont="1"/>
    <xf numFmtId="0" fontId="4" fillId="0" borderId="0" xfId="0" applyFont="1"/>
    <xf numFmtId="0" fontId="22" fillId="0" borderId="0" xfId="0" applyFont="1"/>
    <xf numFmtId="0" fontId="23" fillId="0" borderId="0" xfId="0" applyFont="1"/>
    <xf numFmtId="0" fontId="6" fillId="0" borderId="0" xfId="0" applyFont="1"/>
    <xf numFmtId="0" fontId="24" fillId="0" borderId="0" xfId="0" applyFont="1"/>
    <xf numFmtId="0" fontId="25" fillId="0" borderId="0" xfId="0" applyFont="1"/>
    <xf numFmtId="0" fontId="5" fillId="0" borderId="0" xfId="0" applyFont="1"/>
    <xf numFmtId="0" fontId="26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7A3-42D3-2E40-8A34-BBE75F4EDA45}">
  <dimension ref="B1:G41"/>
  <sheetViews>
    <sheetView tabSelected="1" workbookViewId="0">
      <selection activeCell="E9" sqref="E9"/>
    </sheetView>
  </sheetViews>
  <sheetFormatPr defaultColWidth="10.8984375" defaultRowHeight="18" x14ac:dyDescent="0.35"/>
  <cols>
    <col min="1" max="1" width="10.8984375" style="14"/>
    <col min="2" max="2" width="26.09765625" style="14" customWidth="1"/>
    <col min="3" max="3" width="15.8984375" style="14" customWidth="1"/>
    <col min="4" max="4" width="21.3984375" style="14" customWidth="1"/>
    <col min="5" max="5" width="10.8984375" style="47"/>
    <col min="6" max="6" width="10.8984375" style="14"/>
    <col min="7" max="7" width="18.59765625" style="14" customWidth="1"/>
    <col min="8" max="16384" width="10.8984375" style="14"/>
  </cols>
  <sheetData>
    <row r="1" spans="2:5" ht="18.600000000000001" thickBot="1" x14ac:dyDescent="0.4"/>
    <row r="2" spans="2:5" x14ac:dyDescent="0.35">
      <c r="B2" s="26" t="s">
        <v>0</v>
      </c>
      <c r="C2" s="51" t="s">
        <v>1</v>
      </c>
    </row>
    <row r="3" spans="2:5" x14ac:dyDescent="0.35">
      <c r="B3" s="27" t="s">
        <v>2</v>
      </c>
      <c r="C3" s="52">
        <v>46009</v>
      </c>
    </row>
    <row r="4" spans="2:5" x14ac:dyDescent="0.35">
      <c r="B4" s="27" t="s">
        <v>3</v>
      </c>
      <c r="C4" s="28">
        <v>14</v>
      </c>
    </row>
    <row r="5" spans="2:5" x14ac:dyDescent="0.35">
      <c r="B5" s="27" t="s">
        <v>4</v>
      </c>
      <c r="C5" s="28">
        <v>1</v>
      </c>
    </row>
    <row r="6" spans="2:5" ht="18.600000000000001" thickBot="1" x14ac:dyDescent="0.4">
      <c r="B6" s="29" t="s">
        <v>5</v>
      </c>
      <c r="C6" s="30" t="s">
        <v>6</v>
      </c>
    </row>
    <row r="7" spans="2:5" ht="18.600000000000001" thickBot="1" x14ac:dyDescent="0.4"/>
    <row r="8" spans="2:5" ht="18.600000000000001" thickBot="1" x14ac:dyDescent="0.4">
      <c r="B8" s="31" t="s">
        <v>7</v>
      </c>
      <c r="C8" s="32" t="s">
        <v>8</v>
      </c>
      <c r="D8" s="33" t="s">
        <v>9</v>
      </c>
      <c r="E8" s="53" t="s">
        <v>10</v>
      </c>
    </row>
    <row r="9" spans="2:5" x14ac:dyDescent="0.35">
      <c r="B9" s="67">
        <v>93</v>
      </c>
      <c r="C9" s="68">
        <v>9893</v>
      </c>
      <c r="D9" s="35" t="s">
        <v>11</v>
      </c>
      <c r="E9" s="54" t="s">
        <v>12</v>
      </c>
    </row>
    <row r="10" spans="2:5" x14ac:dyDescent="0.35">
      <c r="B10" s="69">
        <v>94</v>
      </c>
      <c r="C10" s="70">
        <v>9894</v>
      </c>
      <c r="D10" s="36" t="s">
        <v>11</v>
      </c>
      <c r="E10" s="55" t="s">
        <v>12</v>
      </c>
    </row>
    <row r="11" spans="2:5" x14ac:dyDescent="0.35">
      <c r="B11" s="69">
        <v>95</v>
      </c>
      <c r="C11" s="70">
        <v>9895</v>
      </c>
      <c r="D11" s="36" t="s">
        <v>11</v>
      </c>
      <c r="E11" s="55" t="s">
        <v>12</v>
      </c>
    </row>
    <row r="12" spans="2:5" x14ac:dyDescent="0.35">
      <c r="B12" s="69">
        <v>96</v>
      </c>
      <c r="C12" s="70">
        <v>9896</v>
      </c>
      <c r="D12" s="36" t="s">
        <v>11</v>
      </c>
      <c r="E12" s="55" t="s">
        <v>12</v>
      </c>
    </row>
    <row r="13" spans="2:5" ht="18.600000000000001" thickBot="1" x14ac:dyDescent="0.4">
      <c r="B13" s="71">
        <v>82</v>
      </c>
      <c r="C13" s="72">
        <v>9892</v>
      </c>
      <c r="D13" s="37" t="s">
        <v>11</v>
      </c>
      <c r="E13" s="56" t="s">
        <v>12</v>
      </c>
    </row>
    <row r="14" spans="2:5" x14ac:dyDescent="0.35">
      <c r="B14" s="73">
        <v>89</v>
      </c>
      <c r="C14" s="74">
        <v>9899</v>
      </c>
      <c r="D14" s="38" t="s">
        <v>13</v>
      </c>
      <c r="E14" s="57" t="s">
        <v>12</v>
      </c>
    </row>
    <row r="15" spans="2:5" x14ac:dyDescent="0.35">
      <c r="B15" s="75">
        <v>0</v>
      </c>
      <c r="C15" s="76">
        <v>9900</v>
      </c>
      <c r="D15" s="39" t="s">
        <v>13</v>
      </c>
      <c r="E15" s="58" t="s">
        <v>12</v>
      </c>
    </row>
    <row r="16" spans="2:5" x14ac:dyDescent="0.35">
      <c r="B16" s="75">
        <v>1</v>
      </c>
      <c r="C16" s="76">
        <v>9901</v>
      </c>
      <c r="D16" s="39" t="s">
        <v>13</v>
      </c>
      <c r="E16" s="58" t="s">
        <v>12</v>
      </c>
    </row>
    <row r="17" spans="2:5" x14ac:dyDescent="0.35">
      <c r="B17" s="75">
        <v>2</v>
      </c>
      <c r="C17" s="76">
        <v>9902</v>
      </c>
      <c r="D17" s="39" t="s">
        <v>13</v>
      </c>
      <c r="E17" s="58" t="s">
        <v>12</v>
      </c>
    </row>
    <row r="18" spans="2:5" x14ac:dyDescent="0.35">
      <c r="B18" s="75">
        <v>79</v>
      </c>
      <c r="C18" s="76">
        <v>9979</v>
      </c>
      <c r="D18" s="39" t="s">
        <v>13</v>
      </c>
      <c r="E18" s="59" t="s">
        <v>12</v>
      </c>
    </row>
    <row r="19" spans="2:5" ht="18.600000000000001" thickBot="1" x14ac:dyDescent="0.4">
      <c r="B19" s="77">
        <v>80</v>
      </c>
      <c r="C19" s="78">
        <v>9980</v>
      </c>
      <c r="D19" s="40" t="s">
        <v>13</v>
      </c>
      <c r="E19" s="60" t="s">
        <v>12</v>
      </c>
    </row>
    <row r="20" spans="2:5" x14ac:dyDescent="0.35">
      <c r="B20" s="79">
        <v>3</v>
      </c>
      <c r="C20" s="80">
        <v>9903</v>
      </c>
      <c r="D20" s="46" t="s">
        <v>14</v>
      </c>
      <c r="E20" s="61" t="s">
        <v>12</v>
      </c>
    </row>
    <row r="21" spans="2:5" x14ac:dyDescent="0.35">
      <c r="B21" s="81">
        <v>4</v>
      </c>
      <c r="C21" s="82">
        <v>9904</v>
      </c>
      <c r="D21" s="41" t="s">
        <v>14</v>
      </c>
      <c r="E21" s="62" t="s">
        <v>12</v>
      </c>
    </row>
    <row r="22" spans="2:5" x14ac:dyDescent="0.35">
      <c r="B22" s="81">
        <v>5</v>
      </c>
      <c r="C22" s="82">
        <v>9905</v>
      </c>
      <c r="D22" s="41" t="s">
        <v>14</v>
      </c>
      <c r="E22" s="62" t="s">
        <v>12</v>
      </c>
    </row>
    <row r="23" spans="2:5" x14ac:dyDescent="0.35">
      <c r="B23" s="81">
        <v>6</v>
      </c>
      <c r="C23" s="82">
        <v>9906</v>
      </c>
      <c r="D23" s="41" t="s">
        <v>14</v>
      </c>
      <c r="E23" s="62" t="s">
        <v>12</v>
      </c>
    </row>
    <row r="24" spans="2:5" x14ac:dyDescent="0.35">
      <c r="B24" s="81">
        <v>83</v>
      </c>
      <c r="C24" s="82">
        <v>9983</v>
      </c>
      <c r="D24" s="41" t="s">
        <v>14</v>
      </c>
      <c r="E24" s="62" t="s">
        <v>12</v>
      </c>
    </row>
    <row r="25" spans="2:5" ht="18.600000000000001" thickBot="1" x14ac:dyDescent="0.4">
      <c r="B25" s="83">
        <v>84</v>
      </c>
      <c r="C25" s="84">
        <v>9984</v>
      </c>
      <c r="D25" s="42" t="s">
        <v>14</v>
      </c>
      <c r="E25" s="63" t="s">
        <v>12</v>
      </c>
    </row>
    <row r="26" spans="2:5" x14ac:dyDescent="0.35">
      <c r="B26" s="85">
        <v>97</v>
      </c>
      <c r="C26" s="86">
        <v>9897</v>
      </c>
      <c r="D26" s="43" t="s">
        <v>15</v>
      </c>
      <c r="E26" s="64" t="s">
        <v>12</v>
      </c>
    </row>
    <row r="27" spans="2:5" x14ac:dyDescent="0.35">
      <c r="B27" s="87">
        <v>98</v>
      </c>
      <c r="C27" s="88">
        <v>9898</v>
      </c>
      <c r="D27" s="44" t="s">
        <v>15</v>
      </c>
      <c r="E27" s="65" t="s">
        <v>12</v>
      </c>
    </row>
    <row r="28" spans="2:5" x14ac:dyDescent="0.35">
      <c r="B28" s="87">
        <v>7</v>
      </c>
      <c r="C28" s="88">
        <v>9907</v>
      </c>
      <c r="D28" s="44" t="s">
        <v>15</v>
      </c>
      <c r="E28" s="65" t="s">
        <v>12</v>
      </c>
    </row>
    <row r="29" spans="2:5" x14ac:dyDescent="0.35">
      <c r="B29" s="87">
        <v>8</v>
      </c>
      <c r="C29" s="88">
        <v>9908</v>
      </c>
      <c r="D29" s="44" t="s">
        <v>15</v>
      </c>
      <c r="E29" s="65" t="s">
        <v>12</v>
      </c>
    </row>
    <row r="30" spans="2:5" x14ac:dyDescent="0.35">
      <c r="B30" s="87">
        <v>77</v>
      </c>
      <c r="C30" s="88">
        <v>9977</v>
      </c>
      <c r="D30" s="44" t="s">
        <v>15</v>
      </c>
      <c r="E30" s="65" t="s">
        <v>12</v>
      </c>
    </row>
    <row r="31" spans="2:5" ht="18.600000000000001" thickBot="1" x14ac:dyDescent="0.4">
      <c r="B31" s="89">
        <v>78</v>
      </c>
      <c r="C31" s="90">
        <v>9978</v>
      </c>
      <c r="D31" s="45" t="s">
        <v>15</v>
      </c>
      <c r="E31" s="66" t="s">
        <v>12</v>
      </c>
    </row>
    <row r="32" spans="2:5" ht="18.600000000000001" thickBot="1" x14ac:dyDescent="0.4"/>
    <row r="33" spans="2:7" x14ac:dyDescent="0.35">
      <c r="B33" s="15" t="s">
        <v>16</v>
      </c>
      <c r="C33" s="16"/>
      <c r="D33" s="17"/>
    </row>
    <row r="34" spans="2:7" x14ac:dyDescent="0.35">
      <c r="B34" s="18" t="s">
        <v>17</v>
      </c>
      <c r="C34" s="19"/>
      <c r="D34" s="20"/>
    </row>
    <row r="35" spans="2:7" x14ac:dyDescent="0.35">
      <c r="B35" s="18" t="s">
        <v>18</v>
      </c>
      <c r="C35" s="19"/>
      <c r="D35" s="20"/>
    </row>
    <row r="36" spans="2:7" ht="18.600000000000001" thickBot="1" x14ac:dyDescent="0.4">
      <c r="B36" s="21" t="s">
        <v>19</v>
      </c>
      <c r="C36" s="22"/>
      <c r="D36" s="23"/>
    </row>
    <row r="37" spans="2:7" ht="18.600000000000001" thickBot="1" x14ac:dyDescent="0.4"/>
    <row r="38" spans="2:7" x14ac:dyDescent="0.35">
      <c r="B38" s="15" t="s">
        <v>20</v>
      </c>
      <c r="C38" s="16"/>
      <c r="D38" s="16"/>
      <c r="E38" s="48"/>
      <c r="F38" s="16"/>
      <c r="G38" s="17"/>
    </row>
    <row r="39" spans="2:7" x14ac:dyDescent="0.35">
      <c r="B39" s="18" t="s">
        <v>21</v>
      </c>
      <c r="C39" s="19"/>
      <c r="D39" s="19"/>
      <c r="E39" s="49"/>
      <c r="F39" s="19"/>
      <c r="G39" s="20"/>
    </row>
    <row r="40" spans="2:7" x14ac:dyDescent="0.35">
      <c r="B40" s="18" t="s">
        <v>22</v>
      </c>
      <c r="C40" s="19"/>
      <c r="D40" s="19"/>
      <c r="E40" s="49"/>
      <c r="F40" s="19"/>
      <c r="G40" s="20"/>
    </row>
    <row r="41" spans="2:7" ht="18.600000000000001" thickBot="1" x14ac:dyDescent="0.4">
      <c r="B41" s="21" t="s">
        <v>23</v>
      </c>
      <c r="C41" s="22"/>
      <c r="D41" s="22"/>
      <c r="E41" s="50"/>
      <c r="F41" s="22"/>
      <c r="G41" s="2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33D9-E333-0348-ABB4-16AB6E23F936}">
  <dimension ref="B1:D14"/>
  <sheetViews>
    <sheetView workbookViewId="0">
      <selection activeCell="C28" sqref="C28"/>
    </sheetView>
  </sheetViews>
  <sheetFormatPr defaultColWidth="10.8984375" defaultRowHeight="15" x14ac:dyDescent="0.25"/>
  <cols>
    <col min="1" max="1" width="10.8984375" style="13"/>
    <col min="2" max="2" width="29" style="13" customWidth="1"/>
    <col min="3" max="3" width="34.3984375" style="13" customWidth="1"/>
    <col min="4" max="4" width="99.59765625" style="13" customWidth="1"/>
    <col min="5" max="16384" width="10.8984375" style="13"/>
  </cols>
  <sheetData>
    <row r="1" spans="2:4" ht="20.399999999999999" x14ac:dyDescent="0.35">
      <c r="B1" s="25" t="s">
        <v>24</v>
      </c>
    </row>
    <row r="2" spans="2:4" ht="15.6" x14ac:dyDescent="0.3">
      <c r="B2" s="24" t="s">
        <v>25</v>
      </c>
      <c r="C2" s="24" t="s">
        <v>26</v>
      </c>
      <c r="D2" s="24" t="s">
        <v>27</v>
      </c>
    </row>
    <row r="3" spans="2:4" x14ac:dyDescent="0.25">
      <c r="B3" s="13" t="s">
        <v>28</v>
      </c>
      <c r="C3" s="13" t="s">
        <v>29</v>
      </c>
      <c r="D3" s="13" t="s">
        <v>30</v>
      </c>
    </row>
    <row r="4" spans="2:4" x14ac:dyDescent="0.25">
      <c r="B4" s="13" t="s">
        <v>31</v>
      </c>
      <c r="C4" s="13" t="s">
        <v>32</v>
      </c>
      <c r="D4" s="13" t="s">
        <v>33</v>
      </c>
    </row>
    <row r="5" spans="2:4" x14ac:dyDescent="0.25">
      <c r="C5" s="13" t="s">
        <v>34</v>
      </c>
      <c r="D5" s="13" t="s">
        <v>35</v>
      </c>
    </row>
    <row r="6" spans="2:4" x14ac:dyDescent="0.25">
      <c r="C6" s="13" t="s">
        <v>36</v>
      </c>
      <c r="D6" s="13" t="s">
        <v>37</v>
      </c>
    </row>
    <row r="7" spans="2:4" x14ac:dyDescent="0.25">
      <c r="C7" s="13" t="s">
        <v>38</v>
      </c>
      <c r="D7" s="13" t="s">
        <v>39</v>
      </c>
    </row>
    <row r="8" spans="2:4" x14ac:dyDescent="0.25">
      <c r="C8" s="13" t="s">
        <v>40</v>
      </c>
      <c r="D8" s="13" t="s">
        <v>41</v>
      </c>
    </row>
    <row r="9" spans="2:4" x14ac:dyDescent="0.25">
      <c r="C9" s="13" t="s">
        <v>42</v>
      </c>
      <c r="D9" s="13" t="s">
        <v>43</v>
      </c>
    </row>
    <row r="11" spans="2:4" ht="20.399999999999999" x14ac:dyDescent="0.35">
      <c r="B11" s="25" t="s">
        <v>44</v>
      </c>
    </row>
    <row r="12" spans="2:4" ht="15.6" x14ac:dyDescent="0.3">
      <c r="B12" s="24" t="s">
        <v>45</v>
      </c>
      <c r="C12" s="24" t="s">
        <v>27</v>
      </c>
    </row>
    <row r="13" spans="2:4" x14ac:dyDescent="0.25">
      <c r="B13" s="13" t="s">
        <v>46</v>
      </c>
      <c r="C13" s="13" t="s">
        <v>47</v>
      </c>
    </row>
    <row r="14" spans="2:4" x14ac:dyDescent="0.25">
      <c r="B14" s="13" t="s">
        <v>48</v>
      </c>
      <c r="C14" s="13" t="s"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CB8-F5DC-F844-9D31-CC94C069AF34}">
  <sheetPr>
    <pageSetUpPr fitToPage="1"/>
  </sheetPr>
  <dimension ref="A1:AA50"/>
  <sheetViews>
    <sheetView topLeftCell="A3" workbookViewId="0">
      <selection activeCell="M1" sqref="M1"/>
    </sheetView>
  </sheetViews>
  <sheetFormatPr defaultColWidth="10.8984375" defaultRowHeight="15" x14ac:dyDescent="0.25"/>
  <cols>
    <col min="1" max="8" width="10.8984375" style="2"/>
    <col min="9" max="9" width="14.3984375" style="2" customWidth="1"/>
    <col min="10" max="12" width="10.8984375" style="2"/>
    <col min="13" max="13" width="12.09765625" style="2" customWidth="1"/>
    <col min="14" max="15" width="10.8984375" style="2"/>
    <col min="16" max="16" width="13.5" style="2" customWidth="1"/>
    <col min="17" max="16384" width="10.8984375" style="2"/>
  </cols>
  <sheetData>
    <row r="1" spans="1:27" s="1" customFormat="1" ht="109.2" x14ac:dyDescent="0.3">
      <c r="A1" s="1" t="s">
        <v>7</v>
      </c>
      <c r="B1" s="1" t="s">
        <v>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8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 ht="20.100000000000001" customHeight="1" x14ac:dyDescent="0.3">
      <c r="A2" s="91">
        <v>93</v>
      </c>
      <c r="B2" s="34" t="s">
        <v>11</v>
      </c>
      <c r="C2" s="91">
        <v>130253</v>
      </c>
      <c r="D2" s="91">
        <v>710</v>
      </c>
      <c r="E2" s="4">
        <f>C2/D2</f>
        <v>183.45492957746478</v>
      </c>
      <c r="F2" s="4">
        <f>(150/10*20)*E2</f>
        <v>55036.478873239437</v>
      </c>
      <c r="G2" s="4">
        <f t="shared" ref="G2:G24" si="0">F2*H2</f>
        <v>6054012.6760563385</v>
      </c>
      <c r="H2" s="4">
        <v>110</v>
      </c>
      <c r="I2" s="91" t="s">
        <v>75</v>
      </c>
      <c r="J2" s="4">
        <f>I2*G2</f>
        <v>1277396.6746478875</v>
      </c>
      <c r="K2" s="92" t="s">
        <v>76</v>
      </c>
      <c r="L2" s="9">
        <f t="shared" ref="L2:L24" si="1">K2*J2</f>
        <v>1532.8760095774649</v>
      </c>
      <c r="M2" s="93" t="s">
        <v>77</v>
      </c>
      <c r="N2" s="4">
        <f>M2*L2</f>
        <v>1143.5255031447887</v>
      </c>
      <c r="O2" s="93" t="s">
        <v>78</v>
      </c>
      <c r="P2" s="93" t="s">
        <v>79</v>
      </c>
      <c r="Q2" s="4">
        <f t="shared" ref="Q2:Q24" si="2">P2*L2</f>
        <v>259.05604561859155</v>
      </c>
      <c r="R2" s="93" t="s">
        <v>80</v>
      </c>
      <c r="S2" s="4">
        <f>R2*L2</f>
        <v>123.08994356907043</v>
      </c>
      <c r="T2" s="93" t="s">
        <v>81</v>
      </c>
      <c r="U2" s="93" t="s">
        <v>82</v>
      </c>
      <c r="V2" s="4">
        <f t="shared" ref="V2:V24" si="3">U2*L2</f>
        <v>220.73414537915491</v>
      </c>
      <c r="W2" s="93" t="s">
        <v>83</v>
      </c>
      <c r="X2" s="4">
        <f t="shared" ref="X2:X24" si="4">W2*L2</f>
        <v>45.373129883492965</v>
      </c>
      <c r="Y2" s="93" t="s">
        <v>84</v>
      </c>
      <c r="Z2" s="93" t="s">
        <v>85</v>
      </c>
      <c r="AA2" s="4">
        <f t="shared" ref="AA2:AA24" si="5">Z2*L2</f>
        <v>106.99474546850705</v>
      </c>
    </row>
    <row r="3" spans="1:27" ht="20.100000000000001" customHeight="1" x14ac:dyDescent="0.3">
      <c r="A3" s="91">
        <v>94</v>
      </c>
      <c r="B3" s="34" t="s">
        <v>11</v>
      </c>
      <c r="C3" s="91">
        <v>133608</v>
      </c>
      <c r="D3" s="91">
        <v>1223</v>
      </c>
      <c r="E3" s="4">
        <f t="shared" ref="E3:E24" si="6">C3/D3</f>
        <v>109.24611610793131</v>
      </c>
      <c r="F3" s="4">
        <f t="shared" ref="F3:F24" si="7">(150/10*20)*E3</f>
        <v>32773.834832379391</v>
      </c>
      <c r="G3" s="4">
        <f t="shared" si="0"/>
        <v>3605121.831561733</v>
      </c>
      <c r="H3" s="4">
        <v>110</v>
      </c>
      <c r="I3" s="91" t="s">
        <v>86</v>
      </c>
      <c r="J3" s="4">
        <f t="shared" ref="J3:J24" si="8">I3*G3</f>
        <v>821967.7775960752</v>
      </c>
      <c r="K3" s="92" t="s">
        <v>87</v>
      </c>
      <c r="L3" s="9">
        <f t="shared" si="1"/>
        <v>509.62002210956661</v>
      </c>
      <c r="M3" s="93" t="s">
        <v>88</v>
      </c>
      <c r="N3" s="4">
        <f t="shared" ref="N3:N24" si="9">M3*L3</f>
        <v>357.75325552091573</v>
      </c>
      <c r="O3" s="93" t="s">
        <v>89</v>
      </c>
      <c r="P3" s="93" t="s">
        <v>90</v>
      </c>
      <c r="Q3" s="4">
        <f t="shared" si="2"/>
        <v>82.558443581749799</v>
      </c>
      <c r="R3" s="93" t="s">
        <v>91</v>
      </c>
      <c r="S3" s="4">
        <f t="shared" ref="S3:S24" si="10">R3*L3</f>
        <v>36.030135563146359</v>
      </c>
      <c r="T3" s="93" t="s">
        <v>92</v>
      </c>
      <c r="U3" s="93" t="s">
        <v>93</v>
      </c>
      <c r="V3" s="4">
        <f t="shared" si="3"/>
        <v>69.308323006901063</v>
      </c>
      <c r="W3" s="93" t="s">
        <v>94</v>
      </c>
      <c r="X3" s="4">
        <f t="shared" si="4"/>
        <v>18.040548782678659</v>
      </c>
      <c r="Y3" s="93" t="s">
        <v>95</v>
      </c>
      <c r="Z3" s="93" t="s">
        <v>96</v>
      </c>
      <c r="AA3" s="4">
        <f t="shared" si="5"/>
        <v>25.735811116533114</v>
      </c>
    </row>
    <row r="4" spans="1:27" ht="20.100000000000001" customHeight="1" x14ac:dyDescent="0.3">
      <c r="A4" s="91">
        <v>95</v>
      </c>
      <c r="B4" s="34" t="s">
        <v>11</v>
      </c>
      <c r="C4" s="91">
        <v>157315</v>
      </c>
      <c r="D4" s="91">
        <v>1149</v>
      </c>
      <c r="E4" s="4">
        <f t="shared" si="6"/>
        <v>136.91470844212358</v>
      </c>
      <c r="F4" s="4">
        <f t="shared" si="7"/>
        <v>41074.412532637078</v>
      </c>
      <c r="G4" s="4">
        <f t="shared" si="0"/>
        <v>4518185.3785900781</v>
      </c>
      <c r="H4" s="4">
        <v>110</v>
      </c>
      <c r="I4" s="91" t="s">
        <v>97</v>
      </c>
      <c r="J4" s="4">
        <f t="shared" si="8"/>
        <v>1070809.9347258485</v>
      </c>
      <c r="K4" s="92" t="s">
        <v>98</v>
      </c>
      <c r="L4" s="9">
        <f t="shared" si="1"/>
        <v>685.31835822454309</v>
      </c>
      <c r="M4" s="93" t="s">
        <v>99</v>
      </c>
      <c r="N4" s="4">
        <f t="shared" si="9"/>
        <v>487.26135269765012</v>
      </c>
      <c r="O4" s="93" t="s">
        <v>100</v>
      </c>
      <c r="P4" s="93" t="s">
        <v>101</v>
      </c>
      <c r="Q4" s="4">
        <f t="shared" si="2"/>
        <v>109.6509373159269</v>
      </c>
      <c r="R4" s="93" t="s">
        <v>102</v>
      </c>
      <c r="S4" s="4">
        <f t="shared" si="10"/>
        <v>97.315206867885109</v>
      </c>
      <c r="T4" s="93" t="s">
        <v>103</v>
      </c>
      <c r="U4" s="93" t="s">
        <v>102</v>
      </c>
      <c r="V4" s="4">
        <f t="shared" si="3"/>
        <v>97.315206867885109</v>
      </c>
      <c r="W4" s="93" t="s">
        <v>104</v>
      </c>
      <c r="X4" s="4">
        <f t="shared" si="4"/>
        <v>25.288247418485643</v>
      </c>
      <c r="Y4" s="93" t="s">
        <v>105</v>
      </c>
      <c r="Z4" s="93" t="s">
        <v>106</v>
      </c>
      <c r="AA4" s="4">
        <f t="shared" si="5"/>
        <v>48.520539762297652</v>
      </c>
    </row>
    <row r="5" spans="1:27" ht="20.100000000000001" customHeight="1" x14ac:dyDescent="0.3">
      <c r="A5" s="91">
        <v>96</v>
      </c>
      <c r="B5" s="34" t="s">
        <v>107</v>
      </c>
      <c r="C5" s="91">
        <v>152492</v>
      </c>
      <c r="D5" s="91">
        <v>1080</v>
      </c>
      <c r="E5" s="4">
        <f t="shared" si="6"/>
        <v>141.19629629629631</v>
      </c>
      <c r="F5" s="4">
        <f t="shared" si="7"/>
        <v>42358.888888888891</v>
      </c>
      <c r="G5" s="4">
        <f t="shared" si="0"/>
        <v>4659477.777777778</v>
      </c>
      <c r="H5" s="4">
        <v>110</v>
      </c>
      <c r="I5" s="91" t="s">
        <v>108</v>
      </c>
      <c r="J5" s="4">
        <f t="shared" si="8"/>
        <v>973830.85555555555</v>
      </c>
      <c r="K5" s="92" t="s">
        <v>76</v>
      </c>
      <c r="L5" s="9">
        <f t="shared" si="1"/>
        <v>1168.5970266666666</v>
      </c>
      <c r="M5" s="93" t="s">
        <v>109</v>
      </c>
      <c r="N5" s="4">
        <f t="shared" si="9"/>
        <v>823.86090379999985</v>
      </c>
      <c r="O5" s="93" t="s">
        <v>110</v>
      </c>
      <c r="P5" s="93" t="s">
        <v>111</v>
      </c>
      <c r="Q5" s="4">
        <f t="shared" si="2"/>
        <v>90.916848674666653</v>
      </c>
      <c r="R5" s="93" t="s">
        <v>112</v>
      </c>
      <c r="S5" s="4">
        <f t="shared" si="10"/>
        <v>88.229075513333328</v>
      </c>
      <c r="T5" s="93" t="s">
        <v>113</v>
      </c>
      <c r="U5" s="93" t="s">
        <v>114</v>
      </c>
      <c r="V5" s="4">
        <f t="shared" si="3"/>
        <v>79.932036623999991</v>
      </c>
      <c r="W5" s="93" t="s">
        <v>115</v>
      </c>
      <c r="X5" s="4">
        <f t="shared" si="4"/>
        <v>27.578889829333331</v>
      </c>
      <c r="Y5" s="93" t="s">
        <v>116</v>
      </c>
      <c r="Z5" s="93" t="s">
        <v>117</v>
      </c>
      <c r="AA5" s="4">
        <f t="shared" si="5"/>
        <v>115.80796534266665</v>
      </c>
    </row>
    <row r="6" spans="1:27" ht="20.100000000000001" customHeight="1" x14ac:dyDescent="0.3">
      <c r="A6" s="91">
        <v>82</v>
      </c>
      <c r="B6" s="34" t="s">
        <v>11</v>
      </c>
      <c r="C6" s="91">
        <v>190184</v>
      </c>
      <c r="D6" s="91">
        <v>1107</v>
      </c>
      <c r="E6" s="4">
        <f t="shared" si="6"/>
        <v>171.80126467931345</v>
      </c>
      <c r="F6" s="4">
        <f t="shared" si="7"/>
        <v>51540.379403794032</v>
      </c>
      <c r="G6" s="4">
        <f t="shared" si="0"/>
        <v>5669441.7344173435</v>
      </c>
      <c r="H6" s="4">
        <v>110</v>
      </c>
      <c r="I6" s="91" t="s">
        <v>75</v>
      </c>
      <c r="J6" s="4">
        <f t="shared" si="8"/>
        <v>1196252.2059620596</v>
      </c>
      <c r="K6" s="92" t="s">
        <v>118</v>
      </c>
      <c r="L6" s="9">
        <f t="shared" si="1"/>
        <v>777.56393387533865</v>
      </c>
      <c r="M6" s="93" t="s">
        <v>119</v>
      </c>
      <c r="N6" s="4">
        <f t="shared" si="9"/>
        <v>560.62359632411915</v>
      </c>
      <c r="O6" s="93" t="s">
        <v>120</v>
      </c>
      <c r="P6" s="93" t="s">
        <v>121</v>
      </c>
      <c r="Q6" s="4">
        <f t="shared" si="2"/>
        <v>95.640363866666647</v>
      </c>
      <c r="R6" s="93" t="s">
        <v>122</v>
      </c>
      <c r="S6" s="4">
        <f t="shared" si="10"/>
        <v>47.975694720108393</v>
      </c>
      <c r="T6" s="93" t="s">
        <v>123</v>
      </c>
      <c r="U6" s="93" t="s">
        <v>124</v>
      </c>
      <c r="V6" s="4">
        <f t="shared" si="3"/>
        <v>78.533957321409204</v>
      </c>
      <c r="W6" s="93" t="s">
        <v>125</v>
      </c>
      <c r="X6" s="4">
        <f t="shared" si="4"/>
        <v>21.149739001409209</v>
      </c>
      <c r="Y6" s="93" t="s">
        <v>126</v>
      </c>
      <c r="Z6" s="93" t="s">
        <v>127</v>
      </c>
      <c r="AA6" s="4">
        <f t="shared" si="5"/>
        <v>76.823316666883457</v>
      </c>
    </row>
    <row r="7" spans="1:27" s="5" customFormat="1" ht="20.100000000000001" customHeight="1" x14ac:dyDescent="0.3">
      <c r="A7" s="94">
        <v>89</v>
      </c>
      <c r="B7" s="5" t="s">
        <v>128</v>
      </c>
      <c r="C7" s="94">
        <v>161454</v>
      </c>
      <c r="D7" s="94">
        <v>1151</v>
      </c>
      <c r="E7" s="5">
        <f t="shared" si="6"/>
        <v>140.27280625543005</v>
      </c>
      <c r="F7" s="5">
        <f t="shared" si="7"/>
        <v>42081.84187662902</v>
      </c>
      <c r="G7" s="5">
        <f t="shared" si="0"/>
        <v>4629002.6064291922</v>
      </c>
      <c r="H7" s="5">
        <v>110</v>
      </c>
      <c r="I7" s="94" t="s">
        <v>129</v>
      </c>
      <c r="J7" s="5">
        <f t="shared" si="8"/>
        <v>1240572.6985230236</v>
      </c>
      <c r="K7" s="95" t="s">
        <v>130</v>
      </c>
      <c r="L7" s="10">
        <f t="shared" si="1"/>
        <v>1153.7326096264121</v>
      </c>
      <c r="M7" s="96" t="s">
        <v>131</v>
      </c>
      <c r="N7" s="5">
        <f t="shared" si="9"/>
        <v>782.23070932670748</v>
      </c>
      <c r="O7" s="96" t="s">
        <v>132</v>
      </c>
      <c r="P7" s="96" t="s">
        <v>133</v>
      </c>
      <c r="Q7" s="5">
        <f t="shared" si="2"/>
        <v>246.8987784600522</v>
      </c>
      <c r="R7" s="96" t="s">
        <v>134</v>
      </c>
      <c r="S7" s="5">
        <f t="shared" si="10"/>
        <v>35.881084159381416</v>
      </c>
      <c r="T7" s="96" t="s">
        <v>135</v>
      </c>
      <c r="U7" s="96" t="s">
        <v>136</v>
      </c>
      <c r="V7" s="5">
        <f t="shared" si="3"/>
        <v>224.97785887715037</v>
      </c>
      <c r="W7" s="96" t="s">
        <v>137</v>
      </c>
      <c r="X7" s="5">
        <f t="shared" si="4"/>
        <v>9.4606073989365793</v>
      </c>
      <c r="Y7" s="96" t="s">
        <v>138</v>
      </c>
      <c r="Z7" s="96" t="s">
        <v>139</v>
      </c>
      <c r="AA7" s="5">
        <f t="shared" si="5"/>
        <v>105.797280302742</v>
      </c>
    </row>
    <row r="8" spans="1:27" s="5" customFormat="1" ht="20.100000000000001" customHeight="1" x14ac:dyDescent="0.3">
      <c r="A8" s="94">
        <v>0</v>
      </c>
      <c r="B8" s="5" t="s">
        <v>128</v>
      </c>
      <c r="C8" s="94">
        <v>184031</v>
      </c>
      <c r="D8" s="94">
        <v>1092</v>
      </c>
      <c r="E8" s="5">
        <f t="shared" si="6"/>
        <v>168.52655677655679</v>
      </c>
      <c r="F8" s="5">
        <f t="shared" si="7"/>
        <v>50557.967032967033</v>
      </c>
      <c r="G8" s="5">
        <f t="shared" si="0"/>
        <v>5561376.3736263737</v>
      </c>
      <c r="H8" s="5">
        <v>110</v>
      </c>
      <c r="I8" s="94" t="s">
        <v>86</v>
      </c>
      <c r="J8" s="5">
        <f t="shared" si="8"/>
        <v>1267993.8131868131</v>
      </c>
      <c r="K8" s="95" t="s">
        <v>140</v>
      </c>
      <c r="L8" s="10">
        <f t="shared" si="1"/>
        <v>710.07653538461534</v>
      </c>
      <c r="M8" s="96" t="s">
        <v>141</v>
      </c>
      <c r="N8" s="5">
        <f t="shared" si="9"/>
        <v>331.60574202461538</v>
      </c>
      <c r="O8" s="96" t="s">
        <v>142</v>
      </c>
      <c r="P8" s="96" t="s">
        <v>143</v>
      </c>
      <c r="Q8" s="5">
        <f t="shared" si="2"/>
        <v>77.398342356923067</v>
      </c>
      <c r="R8" s="96" t="s">
        <v>144</v>
      </c>
      <c r="S8" s="5">
        <f t="shared" si="10"/>
        <v>54.036824342769229</v>
      </c>
      <c r="T8" s="96" t="s">
        <v>145</v>
      </c>
      <c r="U8" s="96" t="s">
        <v>146</v>
      </c>
      <c r="V8" s="5">
        <f t="shared" si="3"/>
        <v>64.332934105846149</v>
      </c>
      <c r="W8" s="96" t="s">
        <v>147</v>
      </c>
      <c r="X8" s="5">
        <f t="shared" si="4"/>
        <v>33.444604816615382</v>
      </c>
      <c r="Y8" s="96" t="s">
        <v>148</v>
      </c>
      <c r="Z8" s="96" t="s">
        <v>149</v>
      </c>
      <c r="AA8" s="5">
        <f t="shared" si="5"/>
        <v>28.332053761846151</v>
      </c>
    </row>
    <row r="9" spans="1:27" s="5" customFormat="1" ht="20.100000000000001" customHeight="1" x14ac:dyDescent="0.3">
      <c r="A9" s="94">
        <v>1</v>
      </c>
      <c r="B9" s="5" t="s">
        <v>128</v>
      </c>
      <c r="C9" s="94">
        <v>90154</v>
      </c>
      <c r="D9" s="94">
        <v>1107</v>
      </c>
      <c r="E9" s="5">
        <f t="shared" si="6"/>
        <v>81.439927732610656</v>
      </c>
      <c r="F9" s="5">
        <f t="shared" si="7"/>
        <v>24431.978319783197</v>
      </c>
      <c r="G9" s="5">
        <f t="shared" si="0"/>
        <v>2687517.6151761515</v>
      </c>
      <c r="H9" s="5">
        <v>110</v>
      </c>
      <c r="I9" s="94" t="s">
        <v>150</v>
      </c>
      <c r="J9" s="5">
        <f t="shared" si="8"/>
        <v>728317.27371273714</v>
      </c>
      <c r="K9" s="95" t="s">
        <v>151</v>
      </c>
      <c r="L9" s="10">
        <f t="shared" si="1"/>
        <v>174.79614569105692</v>
      </c>
      <c r="M9" s="96" t="s">
        <v>152</v>
      </c>
      <c r="N9" s="5">
        <f t="shared" si="9"/>
        <v>109.59718334829269</v>
      </c>
      <c r="O9" s="96" t="s">
        <v>153</v>
      </c>
      <c r="P9" s="96" t="s">
        <v>154</v>
      </c>
      <c r="Q9" s="5">
        <f t="shared" si="2"/>
        <v>25.345441125203251</v>
      </c>
      <c r="R9" s="96" t="s">
        <v>155</v>
      </c>
      <c r="S9" s="5">
        <f t="shared" si="10"/>
        <v>8.425174222308943</v>
      </c>
      <c r="T9" s="96" t="s">
        <v>156</v>
      </c>
      <c r="U9" s="96" t="s">
        <v>154</v>
      </c>
      <c r="V9" s="5">
        <f t="shared" si="3"/>
        <v>25.345441125203251</v>
      </c>
      <c r="W9" s="96" t="s">
        <v>157</v>
      </c>
      <c r="X9" s="5">
        <f t="shared" si="4"/>
        <v>2.0975537482926829</v>
      </c>
      <c r="Y9" s="96" t="s">
        <v>158</v>
      </c>
      <c r="Z9" s="96" t="s">
        <v>159</v>
      </c>
      <c r="AA9" s="5">
        <f t="shared" si="5"/>
        <v>6.3101408594471549</v>
      </c>
    </row>
    <row r="10" spans="1:27" s="5" customFormat="1" ht="20.100000000000001" customHeight="1" x14ac:dyDescent="0.3">
      <c r="A10" s="94">
        <v>2</v>
      </c>
      <c r="B10" s="5" t="s">
        <v>128</v>
      </c>
      <c r="C10" s="94">
        <v>185736</v>
      </c>
      <c r="D10" s="94">
        <v>1100</v>
      </c>
      <c r="E10" s="5">
        <f t="shared" si="6"/>
        <v>168.85090909090908</v>
      </c>
      <c r="F10" s="5">
        <f t="shared" si="7"/>
        <v>50655.272727272728</v>
      </c>
      <c r="G10" s="5">
        <f t="shared" si="0"/>
        <v>5572080</v>
      </c>
      <c r="H10" s="5">
        <v>110</v>
      </c>
      <c r="I10" s="94" t="s">
        <v>160</v>
      </c>
      <c r="J10" s="5">
        <f t="shared" si="8"/>
        <v>1114416</v>
      </c>
      <c r="K10" s="95" t="s">
        <v>161</v>
      </c>
      <c r="L10" s="10">
        <f t="shared" si="1"/>
        <v>557.20799999999997</v>
      </c>
      <c r="M10" s="96" t="s">
        <v>162</v>
      </c>
      <c r="N10" s="5">
        <f t="shared" si="9"/>
        <v>372.214944</v>
      </c>
      <c r="O10" s="96" t="s">
        <v>154</v>
      </c>
      <c r="P10" s="96" t="s">
        <v>163</v>
      </c>
      <c r="Q10" s="5">
        <f t="shared" si="2"/>
        <v>53.937734399999997</v>
      </c>
      <c r="R10" s="96" t="s">
        <v>104</v>
      </c>
      <c r="S10" s="5">
        <f t="shared" si="10"/>
        <v>20.560975200000001</v>
      </c>
      <c r="T10" s="96" t="s">
        <v>164</v>
      </c>
      <c r="U10" s="96" t="s">
        <v>165</v>
      </c>
      <c r="V10" s="5">
        <f t="shared" si="3"/>
        <v>41.0662296</v>
      </c>
      <c r="W10" s="96" t="s">
        <v>166</v>
      </c>
      <c r="X10" s="5">
        <f t="shared" si="4"/>
        <v>5.1263135999999996</v>
      </c>
      <c r="Y10" s="96" t="s">
        <v>167</v>
      </c>
      <c r="Z10" s="96" t="s">
        <v>168</v>
      </c>
      <c r="AA10" s="5">
        <f t="shared" si="5"/>
        <v>7.6894703999999994</v>
      </c>
    </row>
    <row r="11" spans="1:27" s="5" customFormat="1" ht="20.100000000000001" customHeight="1" x14ac:dyDescent="0.3">
      <c r="A11" s="94">
        <v>79</v>
      </c>
      <c r="B11" s="5" t="s">
        <v>128</v>
      </c>
      <c r="C11" s="94">
        <v>80499</v>
      </c>
      <c r="D11" s="94">
        <v>1200</v>
      </c>
      <c r="E11" s="5">
        <f t="shared" si="6"/>
        <v>67.082499999999996</v>
      </c>
      <c r="F11" s="5">
        <f t="shared" si="7"/>
        <v>20124.75</v>
      </c>
      <c r="G11" s="5">
        <f t="shared" si="0"/>
        <v>2213722.5</v>
      </c>
      <c r="H11" s="5">
        <v>110</v>
      </c>
      <c r="I11" s="94" t="s">
        <v>169</v>
      </c>
      <c r="J11" s="5">
        <f t="shared" si="8"/>
        <v>537934.5675</v>
      </c>
      <c r="K11" s="95" t="s">
        <v>170</v>
      </c>
      <c r="L11" s="10">
        <f t="shared" si="1"/>
        <v>317.38139482500003</v>
      </c>
      <c r="M11" s="96" t="s">
        <v>171</v>
      </c>
      <c r="N11" s="5">
        <f t="shared" si="9"/>
        <v>226.61031590505002</v>
      </c>
      <c r="O11" s="96" t="s">
        <v>172</v>
      </c>
      <c r="P11" s="96" t="s">
        <v>173</v>
      </c>
      <c r="Q11" s="5">
        <f t="shared" si="2"/>
        <v>18.122477644507502</v>
      </c>
      <c r="R11" s="96" t="s">
        <v>174</v>
      </c>
      <c r="S11" s="5">
        <f t="shared" si="10"/>
        <v>24.184462285665003</v>
      </c>
      <c r="T11" s="96" t="s">
        <v>145</v>
      </c>
      <c r="U11" s="96" t="s">
        <v>175</v>
      </c>
      <c r="V11" s="5">
        <f t="shared" si="3"/>
        <v>15.107354393670002</v>
      </c>
      <c r="W11" s="96" t="s">
        <v>175</v>
      </c>
      <c r="X11" s="5">
        <f t="shared" si="4"/>
        <v>15.107354393670002</v>
      </c>
      <c r="Y11" s="96" t="s">
        <v>176</v>
      </c>
      <c r="Z11" s="96" t="s">
        <v>177</v>
      </c>
      <c r="AA11" s="5">
        <f t="shared" si="5"/>
        <v>9.0771078919950003</v>
      </c>
    </row>
    <row r="12" spans="1:27" s="5" customFormat="1" ht="20.100000000000001" customHeight="1" x14ac:dyDescent="0.3">
      <c r="A12" s="94">
        <v>80</v>
      </c>
      <c r="B12" s="5" t="s">
        <v>128</v>
      </c>
      <c r="C12" s="94">
        <v>221661</v>
      </c>
      <c r="D12" s="94">
        <v>1136</v>
      </c>
      <c r="E12" s="5">
        <f t="shared" si="6"/>
        <v>195.12411971830986</v>
      </c>
      <c r="F12" s="5">
        <f t="shared" si="7"/>
        <v>58537.235915492958</v>
      </c>
      <c r="G12" s="5">
        <f t="shared" si="0"/>
        <v>6439095.9507042253</v>
      </c>
      <c r="H12" s="5">
        <v>110</v>
      </c>
      <c r="I12" s="94" t="s">
        <v>178</v>
      </c>
      <c r="J12" s="5">
        <f t="shared" si="8"/>
        <v>1596895.795774648</v>
      </c>
      <c r="K12" s="95" t="s">
        <v>179</v>
      </c>
      <c r="L12" s="10">
        <f t="shared" si="1"/>
        <v>670.69623422535221</v>
      </c>
      <c r="M12" s="96" t="s">
        <v>180</v>
      </c>
      <c r="N12" s="5">
        <f t="shared" si="9"/>
        <v>450.03717316521136</v>
      </c>
      <c r="O12" s="96" t="s">
        <v>181</v>
      </c>
      <c r="P12" s="96" t="s">
        <v>182</v>
      </c>
      <c r="Q12" s="5">
        <f t="shared" si="2"/>
        <v>51.911888529042258</v>
      </c>
      <c r="R12" s="96" t="s">
        <v>183</v>
      </c>
      <c r="S12" s="5">
        <f t="shared" si="10"/>
        <v>56.271414051507051</v>
      </c>
      <c r="T12" s="96" t="s">
        <v>184</v>
      </c>
      <c r="U12" s="96" t="s">
        <v>185</v>
      </c>
      <c r="V12" s="5">
        <f t="shared" si="3"/>
        <v>38.96745120849296</v>
      </c>
      <c r="W12" s="96" t="s">
        <v>186</v>
      </c>
      <c r="X12" s="5">
        <f t="shared" si="4"/>
        <v>17.303962843014087</v>
      </c>
      <c r="Y12" s="96" t="s">
        <v>181</v>
      </c>
      <c r="Z12" s="96" t="s">
        <v>182</v>
      </c>
      <c r="AA12" s="5">
        <f t="shared" si="5"/>
        <v>51.911888529042258</v>
      </c>
    </row>
    <row r="13" spans="1:27" s="7" customFormat="1" ht="20.100000000000001" customHeight="1" x14ac:dyDescent="0.3">
      <c r="A13" s="97">
        <v>3</v>
      </c>
      <c r="B13" s="7" t="s">
        <v>187</v>
      </c>
      <c r="C13" s="97">
        <v>115549</v>
      </c>
      <c r="D13" s="97">
        <v>1188</v>
      </c>
      <c r="E13" s="7">
        <f t="shared" si="6"/>
        <v>97.263468013468014</v>
      </c>
      <c r="F13" s="7">
        <f t="shared" si="7"/>
        <v>29179.040404040403</v>
      </c>
      <c r="G13" s="7">
        <f t="shared" si="0"/>
        <v>3209694.4444444445</v>
      </c>
      <c r="H13" s="7">
        <v>110</v>
      </c>
      <c r="I13" s="97" t="s">
        <v>188</v>
      </c>
      <c r="J13" s="7">
        <f t="shared" si="8"/>
        <v>853778.72222222225</v>
      </c>
      <c r="K13" s="98" t="s">
        <v>189</v>
      </c>
      <c r="L13" s="11">
        <f t="shared" si="1"/>
        <v>563.49395666666669</v>
      </c>
      <c r="M13" s="99" t="s">
        <v>190</v>
      </c>
      <c r="N13" s="7">
        <f t="shared" si="9"/>
        <v>395.00926362333331</v>
      </c>
      <c r="O13" s="99" t="s">
        <v>191</v>
      </c>
      <c r="P13" s="99" t="s">
        <v>192</v>
      </c>
      <c r="Q13" s="7">
        <f t="shared" si="2"/>
        <v>135.2385496</v>
      </c>
      <c r="R13" s="99" t="s">
        <v>146</v>
      </c>
      <c r="S13" s="7">
        <f t="shared" si="10"/>
        <v>51.052552474000002</v>
      </c>
      <c r="T13" s="99" t="s">
        <v>193</v>
      </c>
      <c r="U13" s="99" t="s">
        <v>86</v>
      </c>
      <c r="V13" s="7">
        <f t="shared" si="3"/>
        <v>128.47662212</v>
      </c>
      <c r="W13" s="99" t="s">
        <v>194</v>
      </c>
      <c r="X13" s="7">
        <f t="shared" si="4"/>
        <v>22.201661892666667</v>
      </c>
      <c r="Y13" s="99" t="s">
        <v>195</v>
      </c>
      <c r="Z13" s="99" t="s">
        <v>115</v>
      </c>
      <c r="AA13" s="7">
        <f t="shared" si="5"/>
        <v>13.298457377333333</v>
      </c>
    </row>
    <row r="14" spans="1:27" s="7" customFormat="1" ht="20.100000000000001" customHeight="1" x14ac:dyDescent="0.3">
      <c r="A14" s="97">
        <v>4</v>
      </c>
      <c r="B14" s="7" t="s">
        <v>187</v>
      </c>
      <c r="C14" s="97">
        <v>127677</v>
      </c>
      <c r="D14" s="97">
        <v>1042</v>
      </c>
      <c r="E14" s="7">
        <f t="shared" si="6"/>
        <v>122.53071017274472</v>
      </c>
      <c r="F14" s="7">
        <f t="shared" si="7"/>
        <v>36759.213051823419</v>
      </c>
      <c r="G14" s="7">
        <f t="shared" si="0"/>
        <v>4043513.4357005763</v>
      </c>
      <c r="H14" s="7">
        <v>110</v>
      </c>
      <c r="I14" s="97" t="s">
        <v>196</v>
      </c>
      <c r="J14" s="7">
        <f t="shared" si="8"/>
        <v>1051313.4932821498</v>
      </c>
      <c r="K14" s="98" t="s">
        <v>197</v>
      </c>
      <c r="L14" s="11">
        <f t="shared" si="1"/>
        <v>388.98599251439543</v>
      </c>
      <c r="M14" s="99" t="s">
        <v>198</v>
      </c>
      <c r="N14" s="7">
        <f t="shared" si="9"/>
        <v>283.18180255047986</v>
      </c>
      <c r="O14" s="99" t="s">
        <v>199</v>
      </c>
      <c r="P14" s="99" t="s">
        <v>200</v>
      </c>
      <c r="Q14" s="7">
        <f t="shared" si="2"/>
        <v>86.354890338195787</v>
      </c>
      <c r="R14" s="99" t="s">
        <v>201</v>
      </c>
      <c r="S14" s="7">
        <f t="shared" si="10"/>
        <v>40.843529214011518</v>
      </c>
      <c r="T14" s="99" t="s">
        <v>202</v>
      </c>
      <c r="U14" s="99" t="s">
        <v>203</v>
      </c>
      <c r="V14" s="7">
        <f t="shared" si="3"/>
        <v>77.019226517850299</v>
      </c>
      <c r="W14" s="99" t="s">
        <v>204</v>
      </c>
      <c r="X14" s="7">
        <f t="shared" si="4"/>
        <v>0</v>
      </c>
      <c r="Y14" s="99" t="s">
        <v>205</v>
      </c>
      <c r="Z14" s="99" t="s">
        <v>206</v>
      </c>
      <c r="AA14" s="7">
        <f t="shared" si="5"/>
        <v>19.215908030211136</v>
      </c>
    </row>
    <row r="15" spans="1:27" s="7" customFormat="1" ht="20.100000000000001" customHeight="1" x14ac:dyDescent="0.3">
      <c r="A15" s="97">
        <v>5</v>
      </c>
      <c r="B15" s="7" t="s">
        <v>187</v>
      </c>
      <c r="C15" s="97">
        <v>154392</v>
      </c>
      <c r="D15" s="97">
        <v>1156</v>
      </c>
      <c r="E15" s="7">
        <f t="shared" si="6"/>
        <v>133.55709342560553</v>
      </c>
      <c r="F15" s="7">
        <f t="shared" si="7"/>
        <v>40067.128027681661</v>
      </c>
      <c r="G15" s="7">
        <f t="shared" si="0"/>
        <v>4407384.0830449825</v>
      </c>
      <c r="H15" s="7">
        <v>110</v>
      </c>
      <c r="I15" s="97" t="s">
        <v>207</v>
      </c>
      <c r="J15" s="7">
        <f t="shared" si="8"/>
        <v>951994.96193771623</v>
      </c>
      <c r="K15" s="98" t="s">
        <v>208</v>
      </c>
      <c r="L15" s="11">
        <f t="shared" si="1"/>
        <v>580.71692678200691</v>
      </c>
      <c r="M15" s="99" t="s">
        <v>209</v>
      </c>
      <c r="N15" s="7">
        <f t="shared" si="9"/>
        <v>410.56686723487888</v>
      </c>
      <c r="O15" s="99" t="s">
        <v>210</v>
      </c>
      <c r="P15" s="99" t="s">
        <v>211</v>
      </c>
      <c r="Q15" s="7">
        <f t="shared" si="2"/>
        <v>161.43930564539792</v>
      </c>
      <c r="R15" s="99" t="s">
        <v>212</v>
      </c>
      <c r="S15" s="7">
        <f t="shared" si="10"/>
        <v>89.430406724429062</v>
      </c>
      <c r="T15" s="99" t="s">
        <v>92</v>
      </c>
      <c r="U15" s="99" t="s">
        <v>213</v>
      </c>
      <c r="V15" s="7">
        <f t="shared" si="3"/>
        <v>136.46847779377163</v>
      </c>
      <c r="W15" s="99" t="s">
        <v>214</v>
      </c>
      <c r="X15" s="7">
        <f t="shared" si="4"/>
        <v>8.4203954383391011</v>
      </c>
      <c r="Y15" s="99" t="s">
        <v>215</v>
      </c>
      <c r="Z15" s="99" t="s">
        <v>216</v>
      </c>
      <c r="AA15" s="7">
        <f t="shared" si="5"/>
        <v>21.893028139681658</v>
      </c>
    </row>
    <row r="16" spans="1:27" s="7" customFormat="1" ht="20.100000000000001" customHeight="1" x14ac:dyDescent="0.3">
      <c r="A16" s="97">
        <v>6</v>
      </c>
      <c r="B16" s="7" t="s">
        <v>187</v>
      </c>
      <c r="C16" s="97">
        <v>99108</v>
      </c>
      <c r="D16" s="97">
        <v>1210</v>
      </c>
      <c r="E16" s="7">
        <f t="shared" si="6"/>
        <v>81.907438016528928</v>
      </c>
      <c r="F16" s="7">
        <f t="shared" si="7"/>
        <v>24572.231404958678</v>
      </c>
      <c r="G16" s="7">
        <f t="shared" si="0"/>
        <v>2702945.4545454546</v>
      </c>
      <c r="H16" s="7">
        <v>110</v>
      </c>
      <c r="I16" s="97" t="s">
        <v>217</v>
      </c>
      <c r="J16" s="7">
        <f t="shared" si="8"/>
        <v>662221.63636363635</v>
      </c>
      <c r="K16" s="98" t="s">
        <v>218</v>
      </c>
      <c r="L16" s="11">
        <f t="shared" si="1"/>
        <v>503.28844363636364</v>
      </c>
      <c r="M16" s="99" t="s">
        <v>219</v>
      </c>
      <c r="N16" s="7">
        <f t="shared" si="9"/>
        <v>394.07485136727274</v>
      </c>
      <c r="O16" s="99" t="s">
        <v>220</v>
      </c>
      <c r="P16" s="99" t="s">
        <v>221</v>
      </c>
      <c r="Q16" s="7">
        <f t="shared" si="2"/>
        <v>62.40776701090909</v>
      </c>
      <c r="R16" s="99" t="s">
        <v>222</v>
      </c>
      <c r="S16" s="7">
        <f t="shared" si="10"/>
        <v>34.374600700363636</v>
      </c>
      <c r="T16" s="99" t="s">
        <v>223</v>
      </c>
      <c r="U16" s="99" t="s">
        <v>224</v>
      </c>
      <c r="V16" s="7">
        <f t="shared" si="3"/>
        <v>59.388036349090903</v>
      </c>
      <c r="W16" s="99" t="s">
        <v>225</v>
      </c>
      <c r="X16" s="7">
        <f t="shared" si="4"/>
        <v>3.1203883505454546</v>
      </c>
      <c r="Y16" s="99" t="s">
        <v>226</v>
      </c>
      <c r="Z16" s="99" t="s">
        <v>134</v>
      </c>
      <c r="AA16" s="7">
        <f t="shared" si="5"/>
        <v>15.652270597090908</v>
      </c>
    </row>
    <row r="17" spans="1:27" s="7" customFormat="1" ht="20.100000000000001" customHeight="1" x14ac:dyDescent="0.3">
      <c r="A17" s="97">
        <v>83</v>
      </c>
      <c r="B17" s="7" t="s">
        <v>187</v>
      </c>
      <c r="C17" s="97">
        <v>105826</v>
      </c>
      <c r="D17" s="97">
        <v>1106</v>
      </c>
      <c r="E17" s="7">
        <f t="shared" si="6"/>
        <v>95.683544303797461</v>
      </c>
      <c r="F17" s="7">
        <f t="shared" si="7"/>
        <v>28705.063291139239</v>
      </c>
      <c r="G17" s="7">
        <f t="shared" si="0"/>
        <v>3157556.9620253164</v>
      </c>
      <c r="H17" s="7">
        <v>110</v>
      </c>
      <c r="I17" s="97" t="s">
        <v>227</v>
      </c>
      <c r="J17" s="7">
        <f t="shared" si="8"/>
        <v>802019.4683544304</v>
      </c>
      <c r="K17" s="98" t="s">
        <v>140</v>
      </c>
      <c r="L17" s="11">
        <f t="shared" si="1"/>
        <v>449.13090227848096</v>
      </c>
      <c r="M17" s="99" t="s">
        <v>228</v>
      </c>
      <c r="N17" s="7">
        <f t="shared" si="9"/>
        <v>307.65466806075949</v>
      </c>
      <c r="O17" s="99" t="s">
        <v>229</v>
      </c>
      <c r="P17" s="99" t="s">
        <v>230</v>
      </c>
      <c r="Q17" s="7">
        <f t="shared" si="2"/>
        <v>119.01968910379746</v>
      </c>
      <c r="R17" s="99" t="s">
        <v>212</v>
      </c>
      <c r="S17" s="7">
        <f t="shared" si="10"/>
        <v>69.166158950886071</v>
      </c>
      <c r="T17" s="99" t="s">
        <v>231</v>
      </c>
      <c r="U17" s="99" t="s">
        <v>232</v>
      </c>
      <c r="V17" s="7">
        <f t="shared" si="3"/>
        <v>110.48620196050632</v>
      </c>
      <c r="W17" s="99" t="s">
        <v>233</v>
      </c>
      <c r="X17" s="7">
        <f t="shared" si="4"/>
        <v>13.833231790177214</v>
      </c>
      <c r="Y17" s="99" t="s">
        <v>234</v>
      </c>
      <c r="Z17" s="99" t="s">
        <v>233</v>
      </c>
      <c r="AA17" s="7">
        <f t="shared" si="5"/>
        <v>13.833231790177214</v>
      </c>
    </row>
    <row r="18" spans="1:27" s="7" customFormat="1" ht="20.100000000000001" customHeight="1" x14ac:dyDescent="0.3">
      <c r="A18" s="97">
        <v>84</v>
      </c>
      <c r="B18" s="7" t="s">
        <v>187</v>
      </c>
      <c r="C18" s="97">
        <v>107414</v>
      </c>
      <c r="D18" s="97">
        <v>1118</v>
      </c>
      <c r="E18" s="7">
        <f t="shared" si="6"/>
        <v>96.07692307692308</v>
      </c>
      <c r="F18" s="7">
        <f t="shared" si="7"/>
        <v>28823.076923076926</v>
      </c>
      <c r="G18" s="7">
        <f t="shared" si="0"/>
        <v>3170538.461538462</v>
      </c>
      <c r="H18" s="7">
        <v>110</v>
      </c>
      <c r="I18" s="97" t="s">
        <v>227</v>
      </c>
      <c r="J18" s="7">
        <f t="shared" si="8"/>
        <v>805316.76923076937</v>
      </c>
      <c r="K18" s="98" t="s">
        <v>235</v>
      </c>
      <c r="L18" s="11">
        <f t="shared" si="1"/>
        <v>281.86086923076925</v>
      </c>
      <c r="M18" s="99" t="s">
        <v>236</v>
      </c>
      <c r="N18" s="7">
        <f t="shared" si="9"/>
        <v>193.92027803076923</v>
      </c>
      <c r="O18" s="99" t="s">
        <v>237</v>
      </c>
      <c r="P18" s="99" t="s">
        <v>238</v>
      </c>
      <c r="Q18" s="7">
        <f t="shared" si="2"/>
        <v>51.016817330769236</v>
      </c>
      <c r="R18" s="99" t="s">
        <v>239</v>
      </c>
      <c r="S18" s="7">
        <f t="shared" si="10"/>
        <v>26.551293881538466</v>
      </c>
      <c r="T18" s="99" t="s">
        <v>240</v>
      </c>
      <c r="U18" s="99" t="s">
        <v>241</v>
      </c>
      <c r="V18" s="7">
        <f t="shared" si="3"/>
        <v>47.070765161538468</v>
      </c>
      <c r="W18" s="99" t="s">
        <v>242</v>
      </c>
      <c r="X18" s="7">
        <f t="shared" si="4"/>
        <v>6.1163808623076932</v>
      </c>
      <c r="Y18" s="99" t="s">
        <v>243</v>
      </c>
      <c r="Z18" s="99" t="s">
        <v>242</v>
      </c>
      <c r="AA18" s="7">
        <f t="shared" si="5"/>
        <v>6.1163808623076932</v>
      </c>
    </row>
    <row r="19" spans="1:27" s="6" customFormat="1" ht="20.100000000000001" customHeight="1" x14ac:dyDescent="0.3">
      <c r="A19" s="100">
        <v>97</v>
      </c>
      <c r="B19" s="6" t="s">
        <v>244</v>
      </c>
      <c r="C19" s="100">
        <v>137188</v>
      </c>
      <c r="D19" s="100">
        <v>1118</v>
      </c>
      <c r="E19" s="6">
        <f t="shared" si="6"/>
        <v>122.70840787119857</v>
      </c>
      <c r="F19" s="6">
        <f t="shared" si="7"/>
        <v>36812.522361359574</v>
      </c>
      <c r="G19" s="6">
        <f t="shared" si="0"/>
        <v>4049377.4597495529</v>
      </c>
      <c r="H19" s="6">
        <v>110</v>
      </c>
      <c r="I19" s="100" t="s">
        <v>196</v>
      </c>
      <c r="J19" s="6">
        <f t="shared" si="8"/>
        <v>1052838.1395348839</v>
      </c>
      <c r="K19" s="101" t="s">
        <v>245</v>
      </c>
      <c r="L19" s="12">
        <f t="shared" si="1"/>
        <v>758.04346046511648</v>
      </c>
      <c r="M19" s="102" t="s">
        <v>246</v>
      </c>
      <c r="N19" s="6">
        <f t="shared" si="9"/>
        <v>623.86976796279077</v>
      </c>
      <c r="O19" s="102" t="s">
        <v>126</v>
      </c>
      <c r="P19" s="102" t="s">
        <v>247</v>
      </c>
      <c r="Q19" s="6">
        <f t="shared" si="2"/>
        <v>85.658911032558166</v>
      </c>
      <c r="R19" s="102" t="s">
        <v>248</v>
      </c>
      <c r="S19" s="6">
        <f t="shared" si="10"/>
        <v>25.84928200186047</v>
      </c>
      <c r="T19" s="102" t="s">
        <v>249</v>
      </c>
      <c r="U19" s="102" t="s">
        <v>250</v>
      </c>
      <c r="V19" s="6">
        <f t="shared" si="3"/>
        <v>77.320432967441874</v>
      </c>
      <c r="W19" s="102" t="s">
        <v>251</v>
      </c>
      <c r="X19" s="6">
        <f t="shared" si="4"/>
        <v>2.5773477655813961</v>
      </c>
      <c r="Y19" s="102" t="s">
        <v>252</v>
      </c>
      <c r="Z19" s="102" t="s">
        <v>116</v>
      </c>
      <c r="AA19" s="6">
        <f t="shared" si="5"/>
        <v>106.12608446511632</v>
      </c>
    </row>
    <row r="20" spans="1:27" s="6" customFormat="1" ht="20.100000000000001" customHeight="1" x14ac:dyDescent="0.3">
      <c r="A20" s="100">
        <v>98</v>
      </c>
      <c r="B20" s="6" t="s">
        <v>244</v>
      </c>
      <c r="C20" s="100">
        <v>117223</v>
      </c>
      <c r="D20" s="100">
        <v>1186</v>
      </c>
      <c r="E20" s="6">
        <f t="shared" si="6"/>
        <v>98.838954468802697</v>
      </c>
      <c r="F20" s="6">
        <f t="shared" si="7"/>
        <v>29651.686340640808</v>
      </c>
      <c r="G20" s="6">
        <f t="shared" si="0"/>
        <v>3261685.4974704888</v>
      </c>
      <c r="H20" s="6">
        <v>110</v>
      </c>
      <c r="I20" s="100" t="s">
        <v>253</v>
      </c>
      <c r="J20" s="6">
        <f t="shared" si="8"/>
        <v>838253.17284991569</v>
      </c>
      <c r="K20" s="101" t="s">
        <v>254</v>
      </c>
      <c r="L20" s="12">
        <f t="shared" si="1"/>
        <v>838.2531728499157</v>
      </c>
      <c r="M20" s="102" t="s">
        <v>255</v>
      </c>
      <c r="N20" s="6">
        <f t="shared" si="9"/>
        <v>697.4266398111298</v>
      </c>
      <c r="O20" s="102" t="s">
        <v>256</v>
      </c>
      <c r="P20" s="102" t="s">
        <v>90</v>
      </c>
      <c r="Q20" s="6">
        <f t="shared" si="2"/>
        <v>135.79701400168634</v>
      </c>
      <c r="R20" s="102" t="s">
        <v>257</v>
      </c>
      <c r="S20" s="6">
        <f t="shared" si="10"/>
        <v>20.118076148397979</v>
      </c>
      <c r="T20" s="102" t="s">
        <v>258</v>
      </c>
      <c r="U20" s="102" t="s">
        <v>259</v>
      </c>
      <c r="V20" s="6">
        <f t="shared" si="3"/>
        <v>123.2232164089376</v>
      </c>
      <c r="W20" s="102" t="s">
        <v>260</v>
      </c>
      <c r="X20" s="6">
        <f t="shared" si="4"/>
        <v>7.5442785556492407</v>
      </c>
      <c r="Y20" s="102" t="s">
        <v>124</v>
      </c>
      <c r="Z20" s="102" t="s">
        <v>261</v>
      </c>
      <c r="AA20" s="6">
        <f t="shared" si="5"/>
        <v>70.245615884822939</v>
      </c>
    </row>
    <row r="21" spans="1:27" s="6" customFormat="1" ht="20.100000000000001" customHeight="1" x14ac:dyDescent="0.3">
      <c r="A21" s="100">
        <v>7</v>
      </c>
      <c r="B21" s="6" t="s">
        <v>244</v>
      </c>
      <c r="C21" s="100">
        <v>114065</v>
      </c>
      <c r="D21" s="100">
        <v>1144</v>
      </c>
      <c r="E21" s="6">
        <f t="shared" si="6"/>
        <v>99.707167832167826</v>
      </c>
      <c r="F21" s="6">
        <f t="shared" si="7"/>
        <v>29912.150349650346</v>
      </c>
      <c r="G21" s="6">
        <f t="shared" si="0"/>
        <v>3290336.538461538</v>
      </c>
      <c r="H21" s="6">
        <v>110</v>
      </c>
      <c r="I21" s="100" t="s">
        <v>262</v>
      </c>
      <c r="J21" s="6">
        <f t="shared" si="8"/>
        <v>894971.53846153838</v>
      </c>
      <c r="K21" s="101" t="s">
        <v>263</v>
      </c>
      <c r="L21" s="12">
        <f t="shared" si="1"/>
        <v>653.32922307692297</v>
      </c>
      <c r="M21" s="102" t="s">
        <v>264</v>
      </c>
      <c r="N21" s="6">
        <f t="shared" si="9"/>
        <v>531.15665836153835</v>
      </c>
      <c r="O21" s="102" t="s">
        <v>265</v>
      </c>
      <c r="P21" s="102" t="s">
        <v>266</v>
      </c>
      <c r="Q21" s="6">
        <f t="shared" si="2"/>
        <v>114.98594326153844</v>
      </c>
      <c r="R21" s="102" t="s">
        <v>234</v>
      </c>
      <c r="S21" s="6">
        <f t="shared" si="10"/>
        <v>29.334482116153843</v>
      </c>
      <c r="T21" s="102" t="s">
        <v>267</v>
      </c>
      <c r="U21" s="102" t="s">
        <v>268</v>
      </c>
      <c r="V21" s="6">
        <f t="shared" si="3"/>
        <v>97.999383461538443</v>
      </c>
      <c r="W21" s="102" t="s">
        <v>269</v>
      </c>
      <c r="X21" s="6">
        <f t="shared" si="4"/>
        <v>4.8999691730769221</v>
      </c>
      <c r="Y21" s="102" t="s">
        <v>270</v>
      </c>
      <c r="Z21" s="102" t="s">
        <v>234</v>
      </c>
      <c r="AA21" s="6">
        <f t="shared" si="5"/>
        <v>29.334482116153843</v>
      </c>
    </row>
    <row r="22" spans="1:27" s="6" customFormat="1" ht="20.100000000000001" customHeight="1" x14ac:dyDescent="0.3">
      <c r="A22" s="100">
        <v>8</v>
      </c>
      <c r="B22" s="6" t="s">
        <v>244</v>
      </c>
      <c r="C22" s="100">
        <v>94381</v>
      </c>
      <c r="D22" s="100">
        <v>1079</v>
      </c>
      <c r="E22" s="6">
        <f t="shared" si="6"/>
        <v>87.470806302131606</v>
      </c>
      <c r="F22" s="6">
        <f t="shared" si="7"/>
        <v>26241.241890639481</v>
      </c>
      <c r="G22" s="6">
        <f t="shared" si="0"/>
        <v>2886536.607970343</v>
      </c>
      <c r="H22" s="6">
        <v>110</v>
      </c>
      <c r="I22" s="100" t="s">
        <v>271</v>
      </c>
      <c r="J22" s="6">
        <f t="shared" si="8"/>
        <v>762045.66450417053</v>
      </c>
      <c r="K22" s="101" t="s">
        <v>272</v>
      </c>
      <c r="L22" s="12">
        <f t="shared" si="1"/>
        <v>563.91379173308621</v>
      </c>
      <c r="M22" s="102" t="s">
        <v>184</v>
      </c>
      <c r="N22" s="6">
        <f t="shared" si="9"/>
        <v>422.93534379981463</v>
      </c>
      <c r="O22" s="102" t="s">
        <v>273</v>
      </c>
      <c r="P22" s="102" t="s">
        <v>274</v>
      </c>
      <c r="Q22" s="6">
        <f t="shared" si="2"/>
        <v>53.853767110509736</v>
      </c>
      <c r="R22" s="102" t="s">
        <v>275</v>
      </c>
      <c r="S22" s="6">
        <f t="shared" si="10"/>
        <v>20.526462019084338</v>
      </c>
      <c r="T22" s="102" t="s">
        <v>276</v>
      </c>
      <c r="U22" s="102" t="s">
        <v>277</v>
      </c>
      <c r="V22" s="6">
        <f t="shared" si="3"/>
        <v>48.722151605738652</v>
      </c>
      <c r="W22" s="102" t="s">
        <v>278</v>
      </c>
      <c r="X22" s="6">
        <f t="shared" si="4"/>
        <v>15.394846514313254</v>
      </c>
      <c r="Y22" s="102" t="s">
        <v>279</v>
      </c>
      <c r="Z22" s="102" t="s">
        <v>280</v>
      </c>
      <c r="AA22" s="6">
        <f t="shared" si="5"/>
        <v>64.286172257571835</v>
      </c>
    </row>
    <row r="23" spans="1:27" s="6" customFormat="1" ht="20.100000000000001" customHeight="1" x14ac:dyDescent="0.3">
      <c r="A23" s="100">
        <v>77</v>
      </c>
      <c r="B23" s="6" t="s">
        <v>244</v>
      </c>
      <c r="C23" s="100">
        <v>50448</v>
      </c>
      <c r="D23" s="100">
        <v>1246</v>
      </c>
      <c r="E23" s="6">
        <f t="shared" si="6"/>
        <v>40.487961476725523</v>
      </c>
      <c r="F23" s="6">
        <f t="shared" si="7"/>
        <v>12146.388443017657</v>
      </c>
      <c r="G23" s="6">
        <f t="shared" si="0"/>
        <v>1336102.7287319421</v>
      </c>
      <c r="H23" s="6">
        <v>110</v>
      </c>
      <c r="I23" s="100" t="s">
        <v>178</v>
      </c>
      <c r="J23" s="6">
        <f t="shared" si="8"/>
        <v>331353.47672552167</v>
      </c>
      <c r="K23" s="101" t="s">
        <v>281</v>
      </c>
      <c r="L23" s="12">
        <f t="shared" si="1"/>
        <v>298.21812905296952</v>
      </c>
      <c r="M23" s="102" t="s">
        <v>282</v>
      </c>
      <c r="N23" s="6">
        <f t="shared" si="9"/>
        <v>235.29410382279295</v>
      </c>
      <c r="O23" s="102" t="s">
        <v>172</v>
      </c>
      <c r="P23" s="102" t="s">
        <v>283</v>
      </c>
      <c r="Q23" s="6">
        <f t="shared" si="2"/>
        <v>18.847385756147677</v>
      </c>
      <c r="R23" s="102" t="s">
        <v>165</v>
      </c>
      <c r="S23" s="6">
        <f t="shared" si="10"/>
        <v>21.978676111203853</v>
      </c>
      <c r="T23" s="102" t="s">
        <v>145</v>
      </c>
      <c r="U23" s="102" t="s">
        <v>284</v>
      </c>
      <c r="V23" s="6">
        <f t="shared" si="3"/>
        <v>15.686273588186197</v>
      </c>
      <c r="W23" s="102" t="s">
        <v>285</v>
      </c>
      <c r="X23" s="6">
        <f t="shared" si="4"/>
        <v>6.2924025230176568</v>
      </c>
      <c r="Y23" s="102" t="s">
        <v>286</v>
      </c>
      <c r="Z23" s="102" t="s">
        <v>259</v>
      </c>
      <c r="AA23" s="6">
        <f t="shared" si="5"/>
        <v>43.838064970786519</v>
      </c>
    </row>
    <row r="24" spans="1:27" s="6" customFormat="1" ht="20.100000000000001" customHeight="1" x14ac:dyDescent="0.3">
      <c r="A24" s="100">
        <v>78</v>
      </c>
      <c r="B24" s="6" t="s">
        <v>244</v>
      </c>
      <c r="C24" s="100">
        <v>135230</v>
      </c>
      <c r="D24" s="100">
        <v>1198</v>
      </c>
      <c r="E24" s="6">
        <f t="shared" si="6"/>
        <v>112.87979966611019</v>
      </c>
      <c r="F24" s="6">
        <f t="shared" si="7"/>
        <v>33863.939899833058</v>
      </c>
      <c r="G24" s="6">
        <f t="shared" si="0"/>
        <v>3725033.3889816366</v>
      </c>
      <c r="H24" s="6">
        <v>110</v>
      </c>
      <c r="I24" s="100" t="s">
        <v>287</v>
      </c>
      <c r="J24" s="6">
        <f t="shared" si="8"/>
        <v>897733.04674457444</v>
      </c>
      <c r="K24" s="101" t="s">
        <v>288</v>
      </c>
      <c r="L24" s="12">
        <f t="shared" si="1"/>
        <v>673.29978505843087</v>
      </c>
      <c r="M24" s="102" t="s">
        <v>190</v>
      </c>
      <c r="N24" s="6">
        <f t="shared" si="9"/>
        <v>471.98314932596003</v>
      </c>
      <c r="O24" s="102" t="s">
        <v>289</v>
      </c>
      <c r="P24" s="102" t="s">
        <v>290</v>
      </c>
      <c r="Q24" s="6">
        <f t="shared" si="2"/>
        <v>61.202950461811362</v>
      </c>
      <c r="R24" s="102" t="s">
        <v>291</v>
      </c>
      <c r="S24" s="6">
        <f t="shared" si="10"/>
        <v>64.098139537562631</v>
      </c>
      <c r="T24" s="102" t="s">
        <v>292</v>
      </c>
      <c r="U24" s="102" t="s">
        <v>293</v>
      </c>
      <c r="V24" s="6">
        <f t="shared" si="3"/>
        <v>58.307761386060108</v>
      </c>
      <c r="W24" s="102" t="s">
        <v>294</v>
      </c>
      <c r="X24" s="6">
        <f t="shared" si="4"/>
        <v>11.648086281510853</v>
      </c>
      <c r="Y24" s="102" t="s">
        <v>289</v>
      </c>
      <c r="Z24" s="102" t="s">
        <v>290</v>
      </c>
      <c r="AA24" s="6">
        <f t="shared" si="5"/>
        <v>61.202950461811362</v>
      </c>
    </row>
    <row r="25" spans="1:27" x14ac:dyDescent="0.25">
      <c r="J25" s="6"/>
    </row>
    <row r="26" spans="1:27" ht="15.6" x14ac:dyDescent="0.3">
      <c r="E26" s="3"/>
      <c r="F26" s="3"/>
      <c r="G26" s="1"/>
    </row>
    <row r="27" spans="1:27" x14ac:dyDescent="0.25">
      <c r="D27" s="4"/>
    </row>
    <row r="28" spans="1:27" x14ac:dyDescent="0.25">
      <c r="D28" s="4"/>
    </row>
    <row r="29" spans="1:27" x14ac:dyDescent="0.25">
      <c r="D29" s="4"/>
    </row>
    <row r="30" spans="1:27" x14ac:dyDescent="0.25">
      <c r="D30" s="4"/>
    </row>
    <row r="31" spans="1:27" x14ac:dyDescent="0.25">
      <c r="D31" s="4"/>
    </row>
    <row r="32" spans="1:27" x14ac:dyDescent="0.25">
      <c r="D32" s="4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7"/>
    </row>
    <row r="40" spans="4:4" x14ac:dyDescent="0.25">
      <c r="D40" s="7"/>
    </row>
    <row r="41" spans="4:4" x14ac:dyDescent="0.25">
      <c r="D41" s="7"/>
    </row>
    <row r="42" spans="4:4" x14ac:dyDescent="0.25">
      <c r="D42" s="7"/>
    </row>
    <row r="43" spans="4:4" x14ac:dyDescent="0.25">
      <c r="D43" s="7"/>
    </row>
    <row r="44" spans="4:4" x14ac:dyDescent="0.25">
      <c r="D44" s="7"/>
    </row>
    <row r="45" spans="4:4" x14ac:dyDescent="0.25">
      <c r="D45" s="6"/>
    </row>
    <row r="46" spans="4:4" x14ac:dyDescent="0.25">
      <c r="D46" s="6"/>
    </row>
    <row r="47" spans="4:4" x14ac:dyDescent="0.25">
      <c r="D47" s="6"/>
    </row>
    <row r="48" spans="4:4" x14ac:dyDescent="0.25">
      <c r="D48" s="6"/>
    </row>
    <row r="49" spans="4:4" x14ac:dyDescent="0.25">
      <c r="D49" s="6"/>
    </row>
    <row r="50" spans="4:4" x14ac:dyDescent="0.25">
      <c r="D50" s="6"/>
    </row>
  </sheetData>
  <pageMargins left="0.7" right="0.7" top="0.75" bottom="0.75" header="0.3" footer="0.3"/>
  <pageSetup paperSize="9" scale="3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6AEAA-F129-4D89-90B4-714C3BC38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a9a27-8783-4f30-8e1f-ac4eaf4803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469650-1C27-4153-9EB2-08094EAC4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72E2C-BEE0-4890-95FC-CAD58243743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Dictionary</vt:lpstr>
      <vt:lpstr>Processed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Arnold Reynaldi</cp:lastModifiedBy>
  <cp:revision/>
  <dcterms:created xsi:type="dcterms:W3CDTF">2025-10-06T04:32:20Z</dcterms:created>
  <dcterms:modified xsi:type="dcterms:W3CDTF">2026-08-14T01:50:19Z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
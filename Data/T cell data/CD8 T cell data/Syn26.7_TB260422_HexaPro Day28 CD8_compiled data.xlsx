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0"/>
  <workbookPr/>
  <mc:AlternateContent xmlns:mc="http://schemas.openxmlformats.org/markup-compatibility/2006">
    <mc:Choice Requires="x15">
      <x15ac:absPath xmlns:x15ac="http://schemas.microsoft.com/office/spreadsheetml/2010/11/ac" url="/Users/bennett.ta/Library/CloudStorage/OneDrive-wehi.edu.au/Groom Lab/3. Projects/1. Synergy (Syn)/Compliled data for modelling/CD8 data/"/>
    </mc:Choice>
  </mc:AlternateContent>
  <xr:revisionPtr revIDLastSave="3" documentId="13_ncr:1_{D2D10F08-B906-CD4A-B2B7-7EA40ABAA1FB}" xr6:coauthVersionLast="47" xr6:coauthVersionMax="47" xr10:uidLastSave="{8FA6E3EE-87C3-4352-9153-D2AD128EB22F}"/>
  <bookViews>
    <workbookView xWindow="8800" yWindow="5660" windowWidth="31280" windowHeight="18920" activeTab="2" xr2:uid="{6B8B4BA7-DC4F-C249-AB8D-61FDA605D1B1}"/>
  </bookViews>
  <sheets>
    <sheet name="Start here" sheetId="2" r:id="rId1"/>
    <sheet name="Data dictionary" sheetId="5" r:id="rId2"/>
    <sheet name="Processed 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3" i="3" l="1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" i="3"/>
</calcChain>
</file>

<file path=xl/sharedStrings.xml><?xml version="1.0" encoding="utf-8"?>
<sst xmlns="http://schemas.openxmlformats.org/spreadsheetml/2006/main" count="409" uniqueCount="273">
  <si>
    <t>Experiment code:</t>
  </si>
  <si>
    <t>Syn.26.7</t>
  </si>
  <si>
    <t>Experiment date:</t>
  </si>
  <si>
    <t>Time point (day):</t>
  </si>
  <si>
    <t>Replicate number:</t>
  </si>
  <si>
    <t>Analysis (CD4 or CD8):</t>
  </si>
  <si>
    <t>CD8</t>
  </si>
  <si>
    <t>Exp label</t>
  </si>
  <si>
    <t>Mouse #</t>
  </si>
  <si>
    <t>Vaccine</t>
  </si>
  <si>
    <t>Sex</t>
  </si>
  <si>
    <t>HexaPro TM</t>
  </si>
  <si>
    <t>F</t>
  </si>
  <si>
    <t>HexaPro TMd21</t>
  </si>
  <si>
    <t>HexaPro SOL</t>
  </si>
  <si>
    <t>HexaPro -SP/TM (IC)</t>
  </si>
  <si>
    <t>Counting beads: CountBright Absolute Count</t>
  </si>
  <si>
    <t>REF: C36950</t>
  </si>
  <si>
    <t>Lot: 2466366</t>
  </si>
  <si>
    <t>0.5 x 10^5 beads/50 µL</t>
  </si>
  <si>
    <t>Beads were diluted 1:50 = 1000 beads/50 µL, or 20 beads/µL</t>
  </si>
  <si>
    <t xml:space="preserve">Pre-enrichment, 5 µL of cell pellet resuspension (total 100 µL) was taken for cell counts </t>
  </si>
  <si>
    <t xml:space="preserve">After staining with antibodies, the sample was re-suspended in 150 µL of diluted beads </t>
  </si>
  <si>
    <t>Cells/µL = Number of cells/number of beads x (150 µL/5 µL * 20 beads/µL)</t>
  </si>
  <si>
    <t>Core populations</t>
  </si>
  <si>
    <t>Category</t>
  </si>
  <si>
    <t>Term / Column Component</t>
  </si>
  <si>
    <t>Definition</t>
  </si>
  <si>
    <t>Core population</t>
  </si>
  <si>
    <t>Tetramer+ CD8 T cells</t>
  </si>
  <si>
    <t>Antigen-specific CD8 T cells identified using peptide–MHC tetramers</t>
  </si>
  <si>
    <t>Population type</t>
  </si>
  <si>
    <t>Memory</t>
  </si>
  <si>
    <t>CD127+ KLRG1− cells; memory-forming potential</t>
  </si>
  <si>
    <t>Effector</t>
  </si>
  <si>
    <t>CD127− KLRG1+ cells; terminal effector phenotype</t>
  </si>
  <si>
    <t>TCM: Central memory</t>
  </si>
  <si>
    <t xml:space="preserve">Lymphoid-homing memory cells </t>
  </si>
  <si>
    <t>TEM: Effector memory</t>
  </si>
  <si>
    <t xml:space="preserve">Memory T cells that circulate in the peripheral tissues and blood, providing immediate, rapid effector function </t>
  </si>
  <si>
    <t>Tscm: Stem cell memory</t>
  </si>
  <si>
    <t>Self-renewing memory population; give rise to Tcm and Tem; long-lived reservoir</t>
  </si>
  <si>
    <t>Tfh-like</t>
  </si>
  <si>
    <t xml:space="preserve">CXCR5+ PD-1+; follicular helper-like phenotype </t>
  </si>
  <si>
    <t>Interpreting column labels</t>
  </si>
  <si>
    <t>Term</t>
  </si>
  <si>
    <t>% (percentage)</t>
  </si>
  <si>
    <t>Proportion of the specified parent population</t>
  </si>
  <si>
    <t>Number</t>
  </si>
  <si>
    <t>Absolute cell count in the subset</t>
  </si>
  <si>
    <t>Number of cell events</t>
  </si>
  <si>
    <t xml:space="preserve">Number of bead events </t>
  </si>
  <si>
    <t>Cell/bead ratio</t>
  </si>
  <si>
    <t>Cells/µL</t>
  </si>
  <si>
    <t>Cells in total sample vol</t>
  </si>
  <si>
    <t>Total sample vol (µL)</t>
  </si>
  <si>
    <t>CD8 T cells (% of live lymphocytes)</t>
  </si>
  <si>
    <t>Number of CD8 T cells</t>
  </si>
  <si>
    <t>Tetramer+ (% of CD8)</t>
  </si>
  <si>
    <t>Number of tetramer+ cells</t>
  </si>
  <si>
    <t>CD127+ KLRG1- memory (% tetramer)</t>
  </si>
  <si>
    <t>Number of CD127+ KLRG1- memory</t>
  </si>
  <si>
    <t>CD62L+ CX3CR1- TCM (% memory)</t>
  </si>
  <si>
    <t>CD127+ CD62L+ CX3CR1- KLRG1- TCM (% tetramer)</t>
  </si>
  <si>
    <t>Number CD127+ CD62L+ CX3CR1-KLRG1- TCM</t>
  </si>
  <si>
    <t>PD-1+ CXCR5+ TFH like (% tetramer)</t>
  </si>
  <si>
    <t>Number of CXCR5+ PD-1+ CD127+ KLRG1- TFH like</t>
  </si>
  <si>
    <t>CD127+ KLRG1- CD62L+ TCF1+ SLAMF6+ Tscm (%TCM)</t>
  </si>
  <si>
    <t>CD127+ KLRG1- CD62L+ TCF1+ SLAMF6+ Tscm (% tetramer)</t>
  </si>
  <si>
    <t xml:space="preserve">Number of CD127+ KLRG1- TCF1+ SLAMF6+ Tscm </t>
  </si>
  <si>
    <t>KLRG1+ CD127- effector (% tetramer)</t>
  </si>
  <si>
    <t>Number of KLRG1+ CD127- effector</t>
  </si>
  <si>
    <t>CD62L- CX3CR1hi TEM (% memory)</t>
  </si>
  <si>
    <t>CD62L- CX3CR1hi TEM (% tetramer)</t>
  </si>
  <si>
    <t>Number CD62L- CX3CR1hi TEM</t>
  </si>
  <si>
    <t>31.9 %</t>
  </si>
  <si>
    <t>0.045 %</t>
  </si>
  <si>
    <t>70.0 %</t>
  </si>
  <si>
    <t>25.7 %</t>
  </si>
  <si>
    <t>18.0 %</t>
  </si>
  <si>
    <t>8.00 %</t>
  </si>
  <si>
    <t>100 %</t>
  </si>
  <si>
    <t>6.00 %</t>
  </si>
  <si>
    <t>14.3 %</t>
  </si>
  <si>
    <t>10.0 %</t>
  </si>
  <si>
    <t>27.6 %</t>
  </si>
  <si>
    <t>0.077 %</t>
  </si>
  <si>
    <t>84.5 %</t>
  </si>
  <si>
    <t>7.43 %</t>
  </si>
  <si>
    <t>6.28 %</t>
  </si>
  <si>
    <t>13.5 %</t>
  </si>
  <si>
    <t>1.93 %</t>
  </si>
  <si>
    <t>20.6 %</t>
  </si>
  <si>
    <t>17.4 %</t>
  </si>
  <si>
    <t>31.7 %</t>
  </si>
  <si>
    <t>0.023 %</t>
  </si>
  <si>
    <t>80.2 %</t>
  </si>
  <si>
    <t>21.7 %</t>
  </si>
  <si>
    <t>12.8 %</t>
  </si>
  <si>
    <t>93.3 %</t>
  </si>
  <si>
    <t>16.3 %</t>
  </si>
  <si>
    <t>0 %</t>
  </si>
  <si>
    <t>18.8 %</t>
  </si>
  <si>
    <t>15.1 %</t>
  </si>
  <si>
    <t>32.2 %</t>
  </si>
  <si>
    <t>0.075 %</t>
  </si>
  <si>
    <t>69.3 %</t>
  </si>
  <si>
    <t>13.9 %</t>
  </si>
  <si>
    <t>9.66 %</t>
  </si>
  <si>
    <t>11.3 %</t>
  </si>
  <si>
    <t>95.7 %</t>
  </si>
  <si>
    <t>9.24 %</t>
  </si>
  <si>
    <t>4.62 %</t>
  </si>
  <si>
    <t>23.6 %</t>
  </si>
  <si>
    <t>16.4 %</t>
  </si>
  <si>
    <t>30.2 %</t>
  </si>
  <si>
    <t>0.042 %</t>
  </si>
  <si>
    <t>76.7 %</t>
  </si>
  <si>
    <t>36.4 %</t>
  </si>
  <si>
    <t>27.9 %</t>
  </si>
  <si>
    <t>19.4 %</t>
  </si>
  <si>
    <t>0.78 %</t>
  </si>
  <si>
    <t>13.1 %</t>
  </si>
  <si>
    <t>10.1 %</t>
  </si>
  <si>
    <t>32.5 %</t>
  </si>
  <si>
    <t>0.037 %</t>
  </si>
  <si>
    <t>69.9 %</t>
  </si>
  <si>
    <t>29.2 %</t>
  </si>
  <si>
    <t>20.4 %</t>
  </si>
  <si>
    <t>8.74 %</t>
  </si>
  <si>
    <t>95.2 %</t>
  </si>
  <si>
    <t>4.85 %</t>
  </si>
  <si>
    <t>9.71 %</t>
  </si>
  <si>
    <t>31.3 %</t>
  </si>
  <si>
    <t>0.030 %</t>
  </si>
  <si>
    <t>58.4 %</t>
  </si>
  <si>
    <t>40.0 %</t>
  </si>
  <si>
    <t>23.4 %</t>
  </si>
  <si>
    <t>22.1 %</t>
  </si>
  <si>
    <t>3.90 %</t>
  </si>
  <si>
    <t>4.44 %</t>
  </si>
  <si>
    <t>2.60 %</t>
  </si>
  <si>
    <t>31.5 %</t>
  </si>
  <si>
    <t>0.033 %</t>
  </si>
  <si>
    <t>75.8 %</t>
  </si>
  <si>
    <t>27.5 %</t>
  </si>
  <si>
    <t>20.8 %</t>
  </si>
  <si>
    <t>15.0 %</t>
  </si>
  <si>
    <t>0.83 %</t>
  </si>
  <si>
    <t>11.0 %</t>
  </si>
  <si>
    <t>8.33 %</t>
  </si>
  <si>
    <t>31.6 %</t>
  </si>
  <si>
    <t>0.029 %</t>
  </si>
  <si>
    <t>74.5 %</t>
  </si>
  <si>
    <t>35.5 %</t>
  </si>
  <si>
    <t>26.5 %</t>
  </si>
  <si>
    <t>19.6 %</t>
  </si>
  <si>
    <t>92.6 %</t>
  </si>
  <si>
    <t>24.5 %</t>
  </si>
  <si>
    <t>0.98 %</t>
  </si>
  <si>
    <t>11.8 %</t>
  </si>
  <si>
    <t>8.82 %</t>
  </si>
  <si>
    <t>19.1 %</t>
  </si>
  <si>
    <t>14.5 %</t>
  </si>
  <si>
    <t>14.9 %</t>
  </si>
  <si>
    <t>30.8 %</t>
  </si>
  <si>
    <t>0.034 %</t>
  </si>
  <si>
    <t>81.0 %</t>
  </si>
  <si>
    <t>33.8 %</t>
  </si>
  <si>
    <t>27.4 %</t>
  </si>
  <si>
    <t>6.55 %</t>
  </si>
  <si>
    <t>26.2 %</t>
  </si>
  <si>
    <t>14.7 %</t>
  </si>
  <si>
    <t>11.9 %</t>
  </si>
  <si>
    <t>28.6 %</t>
  </si>
  <si>
    <t>0.024 %</t>
  </si>
  <si>
    <t>80.6 %</t>
  </si>
  <si>
    <t>33.3 %</t>
  </si>
  <si>
    <t>26.9 %</t>
  </si>
  <si>
    <t>4.30 %</t>
  </si>
  <si>
    <t>1.08 %</t>
  </si>
  <si>
    <t>12.0 %</t>
  </si>
  <si>
    <t>9.68 %</t>
  </si>
  <si>
    <t>29.9 %</t>
  </si>
  <si>
    <t>0.057 %</t>
  </si>
  <si>
    <t>83.1 %</t>
  </si>
  <si>
    <t>41.5 %</t>
  </si>
  <si>
    <t>34.5 %</t>
  </si>
  <si>
    <t>16.9 %</t>
  </si>
  <si>
    <t>95.5 %</t>
  </si>
  <si>
    <t>32.9 %</t>
  </si>
  <si>
    <t>9.91 %</t>
  </si>
  <si>
    <t>8.24 %</t>
  </si>
  <si>
    <t>33.9 %</t>
  </si>
  <si>
    <t>0.021 %</t>
  </si>
  <si>
    <t>84.4 %</t>
  </si>
  <si>
    <t>35.1 %</t>
  </si>
  <si>
    <t>18.2 %</t>
  </si>
  <si>
    <t>96.3 %</t>
  </si>
  <si>
    <t>7.69 %</t>
  </si>
  <si>
    <t>6.49 %</t>
  </si>
  <si>
    <t>33.6 %</t>
  </si>
  <si>
    <t>0.020 %</t>
  </si>
  <si>
    <t>76.2 %</t>
  </si>
  <si>
    <t>31.2 %</t>
  </si>
  <si>
    <t>23.8 %</t>
  </si>
  <si>
    <t>25.4 %</t>
  </si>
  <si>
    <t>22.2 %</t>
  </si>
  <si>
    <t>6.25 %</t>
  </si>
  <si>
    <t>4.76 %</t>
  </si>
  <si>
    <t>0.026 %</t>
  </si>
  <si>
    <t>77.5 %</t>
  </si>
  <si>
    <t>43.0 %</t>
  </si>
  <si>
    <t>97.3 %</t>
  </si>
  <si>
    <t>32.4 %</t>
  </si>
  <si>
    <t>0.90 %</t>
  </si>
  <si>
    <t>4.65 %</t>
  </si>
  <si>
    <t>3.60 %</t>
  </si>
  <si>
    <t>33.2 %</t>
  </si>
  <si>
    <t>0.012 %</t>
  </si>
  <si>
    <t>79.2 %</t>
  </si>
  <si>
    <t>52.6 %</t>
  </si>
  <si>
    <t>41.7 %</t>
  </si>
  <si>
    <t>0.022 %</t>
  </si>
  <si>
    <t>78.2 %</t>
  </si>
  <si>
    <t>50.6 %</t>
  </si>
  <si>
    <t>39.6 %</t>
  </si>
  <si>
    <t>97.5 %</t>
  </si>
  <si>
    <t>38.6 %</t>
  </si>
  <si>
    <t>0.99 %</t>
  </si>
  <si>
    <t>11.4 %</t>
  </si>
  <si>
    <t>8.91 %</t>
  </si>
  <si>
    <t>30.1 %</t>
  </si>
  <si>
    <t>0.059 %</t>
  </si>
  <si>
    <t>81.2 %</t>
  </si>
  <si>
    <t>28.3 %</t>
  </si>
  <si>
    <t>22.9 %</t>
  </si>
  <si>
    <t>16.1 %</t>
  </si>
  <si>
    <t>1.03 %</t>
  </si>
  <si>
    <t>15.2 %</t>
  </si>
  <si>
    <t>12.3 %</t>
  </si>
  <si>
    <t>75.3 %</t>
  </si>
  <si>
    <t>12.1 %</t>
  </si>
  <si>
    <t>9.09 %</t>
  </si>
  <si>
    <t>85.7 %</t>
  </si>
  <si>
    <t>7.79 %</t>
  </si>
  <si>
    <t>17.2 %</t>
  </si>
  <si>
    <t>13.0 %</t>
  </si>
  <si>
    <t>33.1 %</t>
  </si>
  <si>
    <t>20.2 %</t>
  </si>
  <si>
    <t>18.1 %</t>
  </si>
  <si>
    <t>16.0 %</t>
  </si>
  <si>
    <t>12.9 %</t>
  </si>
  <si>
    <t>30.3 %</t>
  </si>
  <si>
    <t>0.035 %</t>
  </si>
  <si>
    <t>84.2 %</t>
  </si>
  <si>
    <t>20.7 %</t>
  </si>
  <si>
    <t>94.7 %</t>
  </si>
  <si>
    <t>0.54 %</t>
  </si>
  <si>
    <t>22.6 %</t>
  </si>
  <si>
    <t>19.0 %</t>
  </si>
  <si>
    <t>0.087 %</t>
  </si>
  <si>
    <t>82.3 %</t>
  </si>
  <si>
    <t>21.1 %</t>
  </si>
  <si>
    <t>13.7 %</t>
  </si>
  <si>
    <t>96.5 %</t>
  </si>
  <si>
    <t>16.8 %</t>
  </si>
  <si>
    <t>1.52 %</t>
  </si>
  <si>
    <t>32.6 %</t>
  </si>
  <si>
    <t>0.054 %</t>
  </si>
  <si>
    <t>77.4 %</t>
  </si>
  <si>
    <t>0.96 %</t>
  </si>
  <si>
    <t>26.7 %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</si>
</sst>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b/>
      <i/>
      <sz val="12"/>
      <color theme="1"/>
      <name val="Helvetica"/>
      <family val="2"/>
    </font>
    <font>
      <sz val="12"/>
      <color theme="3" tint="0.499984740745262"/>
      <name val="Helvetica"/>
      <family val="2"/>
    </font>
    <font>
      <sz val="10"/>
      <color theme="3" tint="0.499984740745262"/>
      <name val="Arial"/>
      <family val="2"/>
    </font>
    <font>
      <sz val="12"/>
      <color theme="5" tint="0.39997558519241921"/>
      <name val="Helvetica"/>
      <family val="2"/>
    </font>
    <font>
      <sz val="10"/>
      <color theme="5" tint="0.39997558519241921"/>
      <name val="Arial"/>
      <family val="2"/>
    </font>
    <font>
      <sz val="12"/>
      <color theme="6" tint="0.39997558519241921"/>
      <name val="Helvetica"/>
      <family val="2"/>
    </font>
    <font>
      <sz val="10"/>
      <color theme="6" tint="0.39997558519241921"/>
      <name val="Arial"/>
      <family val="2"/>
    </font>
    <font>
      <sz val="12"/>
      <color theme="8" tint="0.39997558519241921"/>
      <name val="Helvetica"/>
      <family val="2"/>
    </font>
    <font>
      <sz val="10"/>
      <color theme="8" tint="0.39997558519241921"/>
      <name val="Arial"/>
      <family val="2"/>
    </font>
    <font>
      <sz val="14"/>
      <color theme="1"/>
      <name val="Helvetica"/>
      <family val="2"/>
    </font>
    <font>
      <sz val="12"/>
      <color theme="3" tint="0.499984740745262"/>
      <name val="Aptos Narrow"/>
      <family val="2"/>
      <scheme val="minor"/>
    </font>
    <font>
      <sz val="12"/>
      <color theme="5" tint="0.39997558519241921"/>
      <name val="Aptos Narrow"/>
      <family val="2"/>
      <scheme val="minor"/>
    </font>
    <font>
      <sz val="12"/>
      <color theme="6" tint="0.39997558519241921"/>
      <name val="Aptos Narrow"/>
      <family val="2"/>
      <scheme val="minor"/>
    </font>
    <font>
      <sz val="12"/>
      <color theme="8" tint="0.3999755851924192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Helvetica"/>
      <family val="2"/>
    </font>
    <font>
      <sz val="14"/>
      <color theme="3" tint="0.499984740745262"/>
      <name val="Helvetica"/>
      <family val="2"/>
    </font>
    <font>
      <sz val="14"/>
      <color theme="5" tint="0.39997558519241921"/>
      <name val="Helvetica"/>
      <family val="2"/>
    </font>
    <font>
      <sz val="14"/>
      <color theme="6" tint="0.39997558519241921"/>
      <name val="Helvetica"/>
      <family val="2"/>
    </font>
    <font>
      <sz val="14"/>
      <color theme="8" tint="0.39997558519241921"/>
      <name val="Helvetica"/>
      <family val="2"/>
    </font>
    <font>
      <sz val="16"/>
      <color theme="1"/>
      <name val="Helvetica"/>
      <family val="2"/>
    </font>
    <font>
      <b/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5" fillId="0" borderId="0" xfId="0" applyFont="1"/>
    <xf numFmtId="0" fontId="16" fillId="0" borderId="0" xfId="0" applyFont="1"/>
    <xf numFmtId="0" fontId="11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11" fillId="0" borderId="11" xfId="0" applyFont="1" applyBorder="1"/>
    <xf numFmtId="0" fontId="11" fillId="0" borderId="12" xfId="0" applyFont="1" applyBorder="1"/>
    <xf numFmtId="0" fontId="11" fillId="0" borderId="13" xfId="0" applyFont="1" applyBorder="1"/>
    <xf numFmtId="0" fontId="11" fillId="0" borderId="14" xfId="0" applyFont="1" applyBorder="1"/>
    <xf numFmtId="0" fontId="11" fillId="0" borderId="0" xfId="0" applyFont="1"/>
    <xf numFmtId="0" fontId="11" fillId="0" borderId="15" xfId="0" applyFont="1" applyBorder="1"/>
    <xf numFmtId="0" fontId="11" fillId="0" borderId="16" xfId="0" applyFont="1" applyBorder="1"/>
    <xf numFmtId="0" fontId="11" fillId="0" borderId="1" xfId="0" applyFont="1" applyBorder="1"/>
    <xf numFmtId="0" fontId="11" fillId="0" borderId="17" xfId="0" applyFont="1" applyBorder="1"/>
    <xf numFmtId="0" fontId="17" fillId="0" borderId="1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 wrapText="1"/>
    </xf>
    <xf numFmtId="0" fontId="17" fillId="0" borderId="23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22" fillId="0" borderId="0" xfId="0" applyFont="1"/>
    <xf numFmtId="0" fontId="1" fillId="0" borderId="0" xfId="0" applyFont="1"/>
    <xf numFmtId="0" fontId="23" fillId="0" borderId="0" xfId="0" applyFont="1"/>
    <xf numFmtId="0" fontId="2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5" fillId="0" borderId="0" xfId="0" applyFont="1"/>
    <xf numFmtId="0" fontId="7" fillId="0" borderId="0" xfId="0" applyFont="1"/>
    <xf numFmtId="0" fontId="9" fillId="0" borderId="0" xfId="0" applyFont="1"/>
    <xf numFmtId="0" fontId="4" fillId="0" borderId="0" xfId="0" applyFont="1"/>
    <xf numFmtId="0" fontId="6" fillId="0" borderId="0" xfId="0" applyFont="1"/>
    <xf numFmtId="0" fontId="8" fillId="0" borderId="0" xfId="0" applyFont="1"/>
    <xf numFmtId="0" fontId="10" fillId="0" borderId="0" xfId="0" applyFont="1"/>
    <xf numFmtId="0" fontId="11" fillId="0" borderId="3" xfId="0" applyFont="1" applyBorder="1" applyAlignment="1">
      <alignment horizontal="center"/>
    </xf>
    <xf numFmtId="14" fontId="11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B4B4C-8B2D-3B49-B65D-772A9E05077B}">
  <dimension ref="B1:G42"/>
  <sheetViews>
    <sheetView workbookViewId="0">
      <selection activeCell="C30" sqref="C30"/>
    </sheetView>
  </sheetViews>
  <sheetFormatPr defaultColWidth="10.875" defaultRowHeight="18.95"/>
  <cols>
    <col min="1" max="1" width="10.875" style="14"/>
    <col min="2" max="2" width="26.125" style="14" customWidth="1"/>
    <col min="3" max="3" width="22.875" style="14" customWidth="1"/>
    <col min="4" max="4" width="21.375" style="14" customWidth="1"/>
    <col min="5" max="6" width="10.875" style="14"/>
    <col min="7" max="7" width="18.625" style="14" customWidth="1"/>
    <col min="8" max="16384" width="10.875" style="14"/>
  </cols>
  <sheetData>
    <row r="1" spans="2:5" ht="20.100000000000001" thickBot="1"/>
    <row r="2" spans="2:5">
      <c r="B2" s="15" t="s">
        <v>0</v>
      </c>
      <c r="C2" s="81" t="s">
        <v>1</v>
      </c>
    </row>
    <row r="3" spans="2:5">
      <c r="B3" s="16" t="s">
        <v>2</v>
      </c>
      <c r="C3" s="82">
        <v>46134</v>
      </c>
    </row>
    <row r="4" spans="2:5">
      <c r="B4" s="16" t="s">
        <v>3</v>
      </c>
      <c r="C4" s="17">
        <v>28</v>
      </c>
    </row>
    <row r="5" spans="2:5">
      <c r="B5" s="16" t="s">
        <v>4</v>
      </c>
      <c r="C5" s="17">
        <v>2</v>
      </c>
    </row>
    <row r="6" spans="2:5" ht="20.100000000000001" thickBot="1">
      <c r="B6" s="18" t="s">
        <v>5</v>
      </c>
      <c r="C6" s="19" t="s">
        <v>6</v>
      </c>
    </row>
    <row r="7" spans="2:5" ht="18.75"/>
    <row r="8" spans="2:5" ht="18.75">
      <c r="B8" s="47" t="s">
        <v>7</v>
      </c>
      <c r="C8" s="47" t="s">
        <v>8</v>
      </c>
      <c r="D8" s="63" t="s">
        <v>9</v>
      </c>
      <c r="E8" s="64" t="s">
        <v>10</v>
      </c>
    </row>
    <row r="9" spans="2:5" ht="18.75">
      <c r="B9" s="61">
        <v>10467</v>
      </c>
      <c r="C9" s="61">
        <v>10467</v>
      </c>
      <c r="D9" s="62" t="s">
        <v>11</v>
      </c>
      <c r="E9" s="65" t="s">
        <v>12</v>
      </c>
    </row>
    <row r="10" spans="2:5" ht="18.75">
      <c r="B10" s="58">
        <v>10468</v>
      </c>
      <c r="C10" s="58">
        <v>10468</v>
      </c>
      <c r="D10" s="48" t="s">
        <v>11</v>
      </c>
      <c r="E10" s="66" t="s">
        <v>12</v>
      </c>
    </row>
    <row r="11" spans="2:5" ht="18.75">
      <c r="B11" s="58">
        <v>10469</v>
      </c>
      <c r="C11" s="58">
        <v>10469</v>
      </c>
      <c r="D11" s="48" t="s">
        <v>11</v>
      </c>
      <c r="E11" s="66" t="s">
        <v>12</v>
      </c>
    </row>
    <row r="12" spans="2:5" ht="18.75">
      <c r="B12" s="58">
        <v>10470</v>
      </c>
      <c r="C12" s="58">
        <v>10470</v>
      </c>
      <c r="D12" s="48" t="s">
        <v>11</v>
      </c>
      <c r="E12" s="66" t="s">
        <v>12</v>
      </c>
    </row>
    <row r="13" spans="2:5" ht="18.75">
      <c r="B13" s="58">
        <v>10471</v>
      </c>
      <c r="C13" s="58">
        <v>10471</v>
      </c>
      <c r="D13" s="48" t="s">
        <v>11</v>
      </c>
      <c r="E13" s="66" t="s">
        <v>12</v>
      </c>
    </row>
    <row r="14" spans="2:5" ht="18.75">
      <c r="B14" s="59">
        <v>10472</v>
      </c>
      <c r="C14" s="59">
        <v>10472</v>
      </c>
      <c r="D14" s="60" t="s">
        <v>11</v>
      </c>
      <c r="E14" s="67" t="s">
        <v>12</v>
      </c>
    </row>
    <row r="15" spans="2:5" ht="18.75">
      <c r="B15" s="55">
        <v>10473</v>
      </c>
      <c r="C15" s="55">
        <v>10473</v>
      </c>
      <c r="D15" s="20" t="s">
        <v>13</v>
      </c>
      <c r="E15" s="21" t="s">
        <v>12</v>
      </c>
    </row>
    <row r="16" spans="2:5" ht="18.75">
      <c r="B16" s="56">
        <v>10474</v>
      </c>
      <c r="C16" s="56">
        <v>10474</v>
      </c>
      <c r="D16" s="22" t="s">
        <v>13</v>
      </c>
      <c r="E16" s="23" t="s">
        <v>12</v>
      </c>
    </row>
    <row r="17" spans="2:5" ht="18.75">
      <c r="B17" s="56">
        <v>10475</v>
      </c>
      <c r="C17" s="56">
        <v>10475</v>
      </c>
      <c r="D17" s="22" t="s">
        <v>13</v>
      </c>
      <c r="E17" s="23" t="s">
        <v>12</v>
      </c>
    </row>
    <row r="18" spans="2:5" ht="18.75">
      <c r="B18" s="56">
        <v>10476</v>
      </c>
      <c r="C18" s="56">
        <v>10476</v>
      </c>
      <c r="D18" s="22" t="s">
        <v>13</v>
      </c>
      <c r="E18" s="23" t="s">
        <v>12</v>
      </c>
    </row>
    <row r="19" spans="2:5" ht="18.75">
      <c r="B19" s="56">
        <v>10477</v>
      </c>
      <c r="C19" s="56">
        <v>10477</v>
      </c>
      <c r="D19" s="22" t="s">
        <v>13</v>
      </c>
      <c r="E19" s="23" t="s">
        <v>12</v>
      </c>
    </row>
    <row r="20" spans="2:5" ht="18.75">
      <c r="B20" s="57">
        <v>10478</v>
      </c>
      <c r="C20" s="57">
        <v>10478</v>
      </c>
      <c r="D20" s="24" t="s">
        <v>13</v>
      </c>
      <c r="E20" s="25" t="s">
        <v>12</v>
      </c>
    </row>
    <row r="21" spans="2:5" ht="18.75">
      <c r="B21" s="52">
        <v>10479</v>
      </c>
      <c r="C21" s="52">
        <v>10479</v>
      </c>
      <c r="D21" s="26" t="s">
        <v>14</v>
      </c>
      <c r="E21" s="27" t="s">
        <v>12</v>
      </c>
    </row>
    <row r="22" spans="2:5" ht="18.75">
      <c r="B22" s="53">
        <v>10480</v>
      </c>
      <c r="C22" s="53">
        <v>10480</v>
      </c>
      <c r="D22" s="28" t="s">
        <v>14</v>
      </c>
      <c r="E22" s="29" t="s">
        <v>12</v>
      </c>
    </row>
    <row r="23" spans="2:5" ht="18.75">
      <c r="B23" s="53">
        <v>10481</v>
      </c>
      <c r="C23" s="53">
        <v>10481</v>
      </c>
      <c r="D23" s="28" t="s">
        <v>14</v>
      </c>
      <c r="E23" s="29" t="s">
        <v>12</v>
      </c>
    </row>
    <row r="24" spans="2:5" ht="18.75">
      <c r="B24" s="53">
        <v>10482</v>
      </c>
      <c r="C24" s="53">
        <v>10482</v>
      </c>
      <c r="D24" s="28" t="s">
        <v>14</v>
      </c>
      <c r="E24" s="29" t="s">
        <v>12</v>
      </c>
    </row>
    <row r="25" spans="2:5" ht="18.75">
      <c r="B25" s="53">
        <v>10483</v>
      </c>
      <c r="C25" s="53">
        <v>10483</v>
      </c>
      <c r="D25" s="28" t="s">
        <v>14</v>
      </c>
      <c r="E25" s="29" t="s">
        <v>12</v>
      </c>
    </row>
    <row r="26" spans="2:5" ht="18.75">
      <c r="B26" s="54">
        <v>10484</v>
      </c>
      <c r="C26" s="54">
        <v>10484</v>
      </c>
      <c r="D26" s="30" t="s">
        <v>14</v>
      </c>
      <c r="E26" s="31" t="s">
        <v>12</v>
      </c>
    </row>
    <row r="27" spans="2:5" ht="18.75">
      <c r="B27" s="49">
        <v>10485</v>
      </c>
      <c r="C27" s="49">
        <v>10485</v>
      </c>
      <c r="D27" s="32" t="s">
        <v>15</v>
      </c>
      <c r="E27" s="33" t="s">
        <v>12</v>
      </c>
    </row>
    <row r="28" spans="2:5" ht="18.75">
      <c r="B28" s="50">
        <v>10486</v>
      </c>
      <c r="C28" s="50">
        <v>10486</v>
      </c>
      <c r="D28" s="34" t="s">
        <v>15</v>
      </c>
      <c r="E28" s="35" t="s">
        <v>12</v>
      </c>
    </row>
    <row r="29" spans="2:5" ht="18.75">
      <c r="B29" s="50">
        <v>10487</v>
      </c>
      <c r="C29" s="50">
        <v>10487</v>
      </c>
      <c r="D29" s="34" t="s">
        <v>15</v>
      </c>
      <c r="E29" s="35" t="s">
        <v>12</v>
      </c>
    </row>
    <row r="30" spans="2:5" ht="18.75">
      <c r="B30" s="50">
        <v>10488</v>
      </c>
      <c r="C30" s="50">
        <v>10488</v>
      </c>
      <c r="D30" s="34" t="s">
        <v>15</v>
      </c>
      <c r="E30" s="35" t="s">
        <v>12</v>
      </c>
    </row>
    <row r="31" spans="2:5" ht="18.75">
      <c r="B31" s="50">
        <v>10489</v>
      </c>
      <c r="C31" s="50">
        <v>10489</v>
      </c>
      <c r="D31" s="34" t="s">
        <v>15</v>
      </c>
      <c r="E31" s="35" t="s">
        <v>12</v>
      </c>
    </row>
    <row r="32" spans="2:5" ht="18.75">
      <c r="B32" s="51">
        <v>10490</v>
      </c>
      <c r="C32" s="51">
        <v>10490</v>
      </c>
      <c r="D32" s="36" t="s">
        <v>15</v>
      </c>
      <c r="E32" s="37" t="s">
        <v>12</v>
      </c>
    </row>
    <row r="33" spans="2:7" ht="18.75"/>
    <row r="34" spans="2:7">
      <c r="B34" s="38" t="s">
        <v>16</v>
      </c>
      <c r="C34" s="39"/>
      <c r="D34" s="40"/>
    </row>
    <row r="35" spans="2:7">
      <c r="B35" s="41" t="s">
        <v>17</v>
      </c>
      <c r="C35" s="42"/>
      <c r="D35" s="43"/>
    </row>
    <row r="36" spans="2:7">
      <c r="B36" s="41" t="s">
        <v>18</v>
      </c>
      <c r="C36" s="42"/>
      <c r="D36" s="43"/>
    </row>
    <row r="37" spans="2:7" ht="20.100000000000001" thickBot="1">
      <c r="B37" s="44" t="s">
        <v>19</v>
      </c>
      <c r="C37" s="45"/>
      <c r="D37" s="46"/>
    </row>
    <row r="38" spans="2:7" ht="20.100000000000001" thickBot="1"/>
    <row r="39" spans="2:7">
      <c r="B39" s="38" t="s">
        <v>20</v>
      </c>
      <c r="C39" s="39"/>
      <c r="D39" s="39"/>
      <c r="E39" s="39"/>
      <c r="F39" s="39"/>
      <c r="G39" s="40"/>
    </row>
    <row r="40" spans="2:7">
      <c r="B40" s="41" t="s">
        <v>21</v>
      </c>
      <c r="C40" s="42"/>
      <c r="D40" s="42"/>
      <c r="E40" s="42"/>
      <c r="F40" s="42"/>
      <c r="G40" s="43"/>
    </row>
    <row r="41" spans="2:7">
      <c r="B41" s="41" t="s">
        <v>22</v>
      </c>
      <c r="C41" s="42"/>
      <c r="D41" s="42"/>
      <c r="E41" s="42"/>
      <c r="F41" s="42"/>
      <c r="G41" s="43"/>
    </row>
    <row r="42" spans="2:7" ht="20.100000000000001" thickBot="1">
      <c r="B42" s="44" t="s">
        <v>23</v>
      </c>
      <c r="C42" s="45"/>
      <c r="D42" s="45"/>
      <c r="E42" s="45"/>
      <c r="F42" s="45"/>
      <c r="G42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004A-273B-BA48-B7CA-0FAFCC2A874A}">
  <dimension ref="B1:D14"/>
  <sheetViews>
    <sheetView workbookViewId="0">
      <selection activeCell="C10" sqref="C10"/>
    </sheetView>
  </sheetViews>
  <sheetFormatPr defaultColWidth="10.875" defaultRowHeight="15.95"/>
  <cols>
    <col min="1" max="1" width="10.875" style="69"/>
    <col min="2" max="2" width="29" style="69" customWidth="1"/>
    <col min="3" max="3" width="34.375" style="69" customWidth="1"/>
    <col min="4" max="4" width="99.625" style="69" customWidth="1"/>
    <col min="5" max="16384" width="10.875" style="69"/>
  </cols>
  <sheetData>
    <row r="1" spans="2:4" ht="21">
      <c r="B1" s="68" t="s">
        <v>24</v>
      </c>
    </row>
    <row r="2" spans="2:4">
      <c r="B2" s="70" t="s">
        <v>25</v>
      </c>
      <c r="C2" s="70" t="s">
        <v>26</v>
      </c>
      <c r="D2" s="70" t="s">
        <v>27</v>
      </c>
    </row>
    <row r="3" spans="2:4">
      <c r="B3" s="69" t="s">
        <v>28</v>
      </c>
      <c r="C3" s="69" t="s">
        <v>29</v>
      </c>
      <c r="D3" s="69" t="s">
        <v>30</v>
      </c>
    </row>
    <row r="4" spans="2:4">
      <c r="B4" s="69" t="s">
        <v>31</v>
      </c>
      <c r="C4" s="69" t="s">
        <v>32</v>
      </c>
      <c r="D4" s="69" t="s">
        <v>33</v>
      </c>
    </row>
    <row r="5" spans="2:4">
      <c r="C5" s="69" t="s">
        <v>34</v>
      </c>
      <c r="D5" s="69" t="s">
        <v>35</v>
      </c>
    </row>
    <row r="6" spans="2:4">
      <c r="C6" s="69" t="s">
        <v>36</v>
      </c>
      <c r="D6" s="69" t="s">
        <v>37</v>
      </c>
    </row>
    <row r="7" spans="2:4">
      <c r="C7" s="69" t="s">
        <v>38</v>
      </c>
      <c r="D7" s="69" t="s">
        <v>39</v>
      </c>
    </row>
    <row r="8" spans="2:4">
      <c r="C8" s="69" t="s">
        <v>40</v>
      </c>
      <c r="D8" s="69" t="s">
        <v>41</v>
      </c>
    </row>
    <row r="9" spans="2:4">
      <c r="C9" s="69" t="s">
        <v>42</v>
      </c>
      <c r="D9" s="69" t="s">
        <v>43</v>
      </c>
    </row>
    <row r="11" spans="2:4" ht="21">
      <c r="B11" s="68" t="s">
        <v>44</v>
      </c>
    </row>
    <row r="12" spans="2:4">
      <c r="B12" s="70" t="s">
        <v>45</v>
      </c>
      <c r="C12" s="70" t="s">
        <v>27</v>
      </c>
    </row>
    <row r="13" spans="2:4">
      <c r="B13" s="69" t="s">
        <v>46</v>
      </c>
      <c r="C13" s="69" t="s">
        <v>47</v>
      </c>
    </row>
    <row r="14" spans="2:4">
      <c r="B14" s="69" t="s">
        <v>48</v>
      </c>
      <c r="C14" s="69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7467-53EA-664A-9030-D6F5AF0F908C}">
  <dimension ref="A1:AA25"/>
  <sheetViews>
    <sheetView tabSelected="1" workbookViewId="0">
      <selection activeCell="F2" sqref="F2"/>
    </sheetView>
  </sheetViews>
  <sheetFormatPr defaultColWidth="10.875" defaultRowHeight="15.95"/>
  <cols>
    <col min="1" max="1" width="10.875" style="69" customWidth="1"/>
    <col min="2" max="2" width="29.625" style="69" customWidth="1"/>
    <col min="3" max="8" width="10.875" style="69"/>
    <col min="9" max="9" width="12.625" style="69" customWidth="1"/>
    <col min="10" max="16384" width="10.875" style="69"/>
  </cols>
  <sheetData>
    <row r="1" spans="1:27" s="71" customFormat="1" ht="119.1">
      <c r="A1" s="71" t="s">
        <v>7</v>
      </c>
      <c r="B1" s="71" t="s">
        <v>9</v>
      </c>
      <c r="C1" s="71" t="s">
        <v>50</v>
      </c>
      <c r="D1" s="71" t="s">
        <v>51</v>
      </c>
      <c r="E1" s="71" t="s">
        <v>52</v>
      </c>
      <c r="F1" s="71" t="s">
        <v>53</v>
      </c>
      <c r="G1" s="71" t="s">
        <v>54</v>
      </c>
      <c r="H1" s="71" t="s">
        <v>55</v>
      </c>
      <c r="I1" s="71" t="s">
        <v>56</v>
      </c>
      <c r="J1" s="71" t="s">
        <v>57</v>
      </c>
      <c r="K1" s="71" t="s">
        <v>58</v>
      </c>
      <c r="L1" s="72" t="s">
        <v>59</v>
      </c>
      <c r="M1" s="71" t="s">
        <v>60</v>
      </c>
      <c r="N1" s="71" t="s">
        <v>61</v>
      </c>
      <c r="O1" s="71" t="s">
        <v>62</v>
      </c>
      <c r="P1" s="71" t="s">
        <v>63</v>
      </c>
      <c r="Q1" s="71" t="s">
        <v>64</v>
      </c>
      <c r="R1" s="71" t="s">
        <v>65</v>
      </c>
      <c r="S1" s="71" t="s">
        <v>66</v>
      </c>
      <c r="T1" s="71" t="s">
        <v>67</v>
      </c>
      <c r="U1" s="71" t="s">
        <v>68</v>
      </c>
      <c r="V1" s="71" t="s">
        <v>69</v>
      </c>
      <c r="W1" s="71" t="s">
        <v>70</v>
      </c>
      <c r="X1" s="71" t="s">
        <v>71</v>
      </c>
      <c r="Y1" s="71" t="s">
        <v>72</v>
      </c>
      <c r="Z1" s="71" t="s">
        <v>73</v>
      </c>
      <c r="AA1" s="71" t="s">
        <v>74</v>
      </c>
    </row>
    <row r="2" spans="1:27" s="73" customFormat="1" ht="20.100000000000001" customHeight="1">
      <c r="A2" s="1">
        <v>10467</v>
      </c>
      <c r="B2" s="2" t="s">
        <v>11</v>
      </c>
      <c r="C2" s="1">
        <v>58065</v>
      </c>
      <c r="D2" s="1">
        <v>1135</v>
      </c>
      <c r="E2" s="73">
        <f>C2/D2</f>
        <v>51.158590308370044</v>
      </c>
      <c r="F2" s="73">
        <f>(150/5*20)*E2</f>
        <v>30695.154185022027</v>
      </c>
      <c r="G2" s="73">
        <f>F2*H2</f>
        <v>3069515.4185022027</v>
      </c>
      <c r="H2" s="73">
        <v>100</v>
      </c>
      <c r="I2" s="5" t="s">
        <v>75</v>
      </c>
      <c r="J2" s="73">
        <f>I2*G2</f>
        <v>979175.41850220272</v>
      </c>
      <c r="K2" s="6" t="s">
        <v>76</v>
      </c>
      <c r="L2" s="73">
        <f>K2*J2</f>
        <v>440.62893832599121</v>
      </c>
      <c r="M2" s="6" t="s">
        <v>77</v>
      </c>
      <c r="N2" s="73">
        <f>M2*L2</f>
        <v>308.44025682819381</v>
      </c>
      <c r="O2" s="6" t="s">
        <v>78</v>
      </c>
      <c r="P2" s="6" t="s">
        <v>79</v>
      </c>
      <c r="Q2" s="73">
        <f>P2*L2</f>
        <v>79.313208898678411</v>
      </c>
      <c r="R2" s="77" t="s">
        <v>80</v>
      </c>
      <c r="S2" s="73">
        <f>R2*L2</f>
        <v>35.250315066079295</v>
      </c>
      <c r="T2" s="77" t="s">
        <v>81</v>
      </c>
      <c r="U2" s="77" t="s">
        <v>79</v>
      </c>
      <c r="V2" s="73">
        <f>U2*L2</f>
        <v>79.313208898678411</v>
      </c>
      <c r="W2" s="6" t="s">
        <v>82</v>
      </c>
      <c r="X2" s="1">
        <f>W2*L2</f>
        <v>26.437736299559472</v>
      </c>
      <c r="Y2" s="6" t="s">
        <v>83</v>
      </c>
      <c r="Z2" s="6" t="s">
        <v>84</v>
      </c>
      <c r="AA2" s="73">
        <f>Z2*L2</f>
        <v>44.062893832599123</v>
      </c>
    </row>
    <row r="3" spans="1:27" s="73" customFormat="1" ht="20.100000000000001" customHeight="1">
      <c r="A3" s="1">
        <v>10468</v>
      </c>
      <c r="B3" s="2" t="s">
        <v>11</v>
      </c>
      <c r="C3" s="1">
        <v>65064</v>
      </c>
      <c r="D3" s="1">
        <v>961</v>
      </c>
      <c r="E3" s="73">
        <f t="shared" ref="E3:E25" si="0">C3/D3</f>
        <v>67.704474505723212</v>
      </c>
      <c r="F3" s="73">
        <f t="shared" ref="F3:F25" si="1">(150/5*20)*E3</f>
        <v>40622.68470343393</v>
      </c>
      <c r="G3" s="73">
        <f t="shared" ref="G3:G25" si="2">F3*H3</f>
        <v>4062268.4703433928</v>
      </c>
      <c r="H3" s="73">
        <v>100</v>
      </c>
      <c r="I3" s="5" t="s">
        <v>85</v>
      </c>
      <c r="J3" s="73">
        <f t="shared" ref="J3:J25" si="3">I3*G3</f>
        <v>1121186.0978147765</v>
      </c>
      <c r="K3" s="6" t="s">
        <v>86</v>
      </c>
      <c r="L3" s="73">
        <f t="shared" ref="L3:L25" si="4">K3*J3</f>
        <v>863.31329531737788</v>
      </c>
      <c r="M3" s="6" t="s">
        <v>87</v>
      </c>
      <c r="N3" s="73">
        <f t="shared" ref="N3:N25" si="5">M3*L3</f>
        <v>729.49973454318433</v>
      </c>
      <c r="O3" s="6" t="s">
        <v>88</v>
      </c>
      <c r="P3" s="6" t="s">
        <v>89</v>
      </c>
      <c r="Q3" s="73">
        <f t="shared" ref="Q3:Q25" si="6">P3*L3</f>
        <v>54.216074945931325</v>
      </c>
      <c r="R3" s="77" t="s">
        <v>90</v>
      </c>
      <c r="S3" s="73">
        <f t="shared" ref="S3:S25" si="7">R3*L3</f>
        <v>116.54729486784602</v>
      </c>
      <c r="T3" s="77" t="s">
        <v>81</v>
      </c>
      <c r="U3" s="77" t="s">
        <v>89</v>
      </c>
      <c r="V3" s="73">
        <f t="shared" ref="V3:V25" si="8">U3*L3</f>
        <v>54.216074945931325</v>
      </c>
      <c r="W3" s="6" t="s">
        <v>91</v>
      </c>
      <c r="X3" s="1">
        <f t="shared" ref="X3:X25" si="9">W3*L3</f>
        <v>16.661946599625395</v>
      </c>
      <c r="Y3" s="6" t="s">
        <v>92</v>
      </c>
      <c r="Z3" s="6" t="s">
        <v>93</v>
      </c>
      <c r="AA3" s="73">
        <f t="shared" ref="AA3:AA25" si="10">Z3*L3</f>
        <v>150.21651338522375</v>
      </c>
    </row>
    <row r="4" spans="1:27" s="73" customFormat="1" ht="20.100000000000001" customHeight="1">
      <c r="A4" s="1">
        <v>10469</v>
      </c>
      <c r="B4" s="2" t="s">
        <v>11</v>
      </c>
      <c r="C4" s="1">
        <v>49214</v>
      </c>
      <c r="D4" s="1">
        <v>977</v>
      </c>
      <c r="E4" s="73">
        <f t="shared" si="0"/>
        <v>50.372569089048106</v>
      </c>
      <c r="F4" s="73">
        <f t="shared" si="1"/>
        <v>30223.541453428865</v>
      </c>
      <c r="G4" s="73">
        <f t="shared" si="2"/>
        <v>3022354.1453428864</v>
      </c>
      <c r="H4" s="73">
        <v>100</v>
      </c>
      <c r="I4" s="5" t="s">
        <v>94</v>
      </c>
      <c r="J4" s="73">
        <f t="shared" si="3"/>
        <v>958086.26407369506</v>
      </c>
      <c r="K4" s="6" t="s">
        <v>95</v>
      </c>
      <c r="L4" s="73">
        <f t="shared" si="4"/>
        <v>220.35984073694988</v>
      </c>
      <c r="M4" s="6" t="s">
        <v>96</v>
      </c>
      <c r="N4" s="73">
        <f t="shared" si="5"/>
        <v>176.72859227103382</v>
      </c>
      <c r="O4" s="6" t="s">
        <v>97</v>
      </c>
      <c r="P4" s="6" t="s">
        <v>93</v>
      </c>
      <c r="Q4" s="73">
        <f t="shared" si="6"/>
        <v>38.342612288229276</v>
      </c>
      <c r="R4" s="77" t="s">
        <v>98</v>
      </c>
      <c r="S4" s="73">
        <f t="shared" si="7"/>
        <v>28.206059614329586</v>
      </c>
      <c r="T4" s="77" t="s">
        <v>99</v>
      </c>
      <c r="U4" s="77" t="s">
        <v>100</v>
      </c>
      <c r="V4" s="73">
        <f t="shared" si="8"/>
        <v>35.918654040122831</v>
      </c>
      <c r="W4" s="6" t="s">
        <v>101</v>
      </c>
      <c r="X4" s="1">
        <f t="shared" si="9"/>
        <v>0</v>
      </c>
      <c r="Y4" s="6" t="s">
        <v>102</v>
      </c>
      <c r="Z4" s="6" t="s">
        <v>103</v>
      </c>
      <c r="AA4" s="73">
        <f t="shared" si="10"/>
        <v>33.274335951279433</v>
      </c>
    </row>
    <row r="5" spans="1:27" s="73" customFormat="1" ht="20.100000000000001" customHeight="1">
      <c r="A5" s="1">
        <v>10470</v>
      </c>
      <c r="B5" s="2" t="s">
        <v>11</v>
      </c>
      <c r="C5" s="1">
        <v>38560</v>
      </c>
      <c r="D5" s="1">
        <v>954</v>
      </c>
      <c r="E5" s="73">
        <f t="shared" si="0"/>
        <v>40.419287211740041</v>
      </c>
      <c r="F5" s="73">
        <f t="shared" si="1"/>
        <v>24251.572327044025</v>
      </c>
      <c r="G5" s="73">
        <f t="shared" si="2"/>
        <v>2425157.2327044024</v>
      </c>
      <c r="H5" s="73">
        <v>100</v>
      </c>
      <c r="I5" s="5" t="s">
        <v>104</v>
      </c>
      <c r="J5" s="73">
        <f t="shared" si="3"/>
        <v>780900.62893081759</v>
      </c>
      <c r="K5" s="6" t="s">
        <v>105</v>
      </c>
      <c r="L5" s="73">
        <f t="shared" si="4"/>
        <v>585.67547169811326</v>
      </c>
      <c r="M5" s="6" t="s">
        <v>106</v>
      </c>
      <c r="N5" s="73">
        <f t="shared" si="5"/>
        <v>405.87310188679248</v>
      </c>
      <c r="O5" s="6" t="s">
        <v>107</v>
      </c>
      <c r="P5" s="6" t="s">
        <v>108</v>
      </c>
      <c r="Q5" s="73">
        <f t="shared" si="6"/>
        <v>56.576250566037743</v>
      </c>
      <c r="R5" s="77" t="s">
        <v>109</v>
      </c>
      <c r="S5" s="73">
        <f t="shared" si="7"/>
        <v>66.181328301886793</v>
      </c>
      <c r="T5" s="77" t="s">
        <v>110</v>
      </c>
      <c r="U5" s="77" t="s">
        <v>111</v>
      </c>
      <c r="V5" s="73">
        <f t="shared" si="8"/>
        <v>54.116413584905665</v>
      </c>
      <c r="W5" s="6" t="s">
        <v>112</v>
      </c>
      <c r="X5" s="1">
        <f t="shared" si="9"/>
        <v>27.058206792452832</v>
      </c>
      <c r="Y5" s="6" t="s">
        <v>113</v>
      </c>
      <c r="Z5" s="6" t="s">
        <v>114</v>
      </c>
      <c r="AA5" s="73">
        <f t="shared" si="10"/>
        <v>96.050777358490578</v>
      </c>
    </row>
    <row r="6" spans="1:27" s="73" customFormat="1" ht="20.100000000000001" customHeight="1">
      <c r="A6" s="1">
        <v>10471</v>
      </c>
      <c r="B6" s="2" t="s">
        <v>11</v>
      </c>
      <c r="C6" s="1">
        <v>59732</v>
      </c>
      <c r="D6" s="1">
        <v>962</v>
      </c>
      <c r="E6" s="73">
        <f t="shared" si="0"/>
        <v>62.091476091476089</v>
      </c>
      <c r="F6" s="73">
        <f t="shared" si="1"/>
        <v>37254.885654885657</v>
      </c>
      <c r="G6" s="73">
        <f t="shared" si="2"/>
        <v>3725488.5654885657</v>
      </c>
      <c r="H6" s="73">
        <v>100</v>
      </c>
      <c r="I6" s="5" t="s">
        <v>115</v>
      </c>
      <c r="J6" s="73">
        <f t="shared" si="3"/>
        <v>1125097.5467775469</v>
      </c>
      <c r="K6" s="6" t="s">
        <v>116</v>
      </c>
      <c r="L6" s="73">
        <f t="shared" si="4"/>
        <v>472.54096964656969</v>
      </c>
      <c r="M6" s="6" t="s">
        <v>117</v>
      </c>
      <c r="N6" s="73">
        <f t="shared" si="5"/>
        <v>362.43892371891894</v>
      </c>
      <c r="O6" s="6" t="s">
        <v>118</v>
      </c>
      <c r="P6" s="6" t="s">
        <v>119</v>
      </c>
      <c r="Q6" s="73">
        <f t="shared" si="6"/>
        <v>131.83893053139295</v>
      </c>
      <c r="R6" s="77" t="s">
        <v>120</v>
      </c>
      <c r="S6" s="73">
        <f t="shared" si="7"/>
        <v>91.672948111434522</v>
      </c>
      <c r="T6" s="77" t="s">
        <v>81</v>
      </c>
      <c r="U6" s="77" t="s">
        <v>119</v>
      </c>
      <c r="V6" s="73">
        <f t="shared" si="8"/>
        <v>131.83893053139295</v>
      </c>
      <c r="W6" s="6" t="s">
        <v>121</v>
      </c>
      <c r="X6" s="1">
        <f t="shared" si="9"/>
        <v>3.6858195632432436</v>
      </c>
      <c r="Y6" s="6" t="s">
        <v>122</v>
      </c>
      <c r="Z6" s="6" t="s">
        <v>123</v>
      </c>
      <c r="AA6" s="73">
        <f t="shared" si="10"/>
        <v>47.72663793430354</v>
      </c>
    </row>
    <row r="7" spans="1:27" s="73" customFormat="1" ht="20.100000000000001" customHeight="1">
      <c r="A7" s="1">
        <v>10472</v>
      </c>
      <c r="B7" s="2" t="s">
        <v>11</v>
      </c>
      <c r="C7" s="1">
        <v>29287</v>
      </c>
      <c r="D7" s="1">
        <v>957</v>
      </c>
      <c r="E7" s="73">
        <f t="shared" si="0"/>
        <v>30.602925809822363</v>
      </c>
      <c r="F7" s="73">
        <f t="shared" si="1"/>
        <v>18361.755485893416</v>
      </c>
      <c r="G7" s="73">
        <f t="shared" si="2"/>
        <v>1836175.5485893416</v>
      </c>
      <c r="H7" s="73">
        <v>100</v>
      </c>
      <c r="I7" s="5" t="s">
        <v>124</v>
      </c>
      <c r="J7" s="73">
        <f t="shared" si="3"/>
        <v>596757.05329153605</v>
      </c>
      <c r="K7" s="6" t="s">
        <v>125</v>
      </c>
      <c r="L7" s="73">
        <f t="shared" si="4"/>
        <v>220.80010971786834</v>
      </c>
      <c r="M7" s="6" t="s">
        <v>126</v>
      </c>
      <c r="N7" s="73">
        <f t="shared" si="5"/>
        <v>154.33927669278995</v>
      </c>
      <c r="O7" s="6" t="s">
        <v>127</v>
      </c>
      <c r="P7" s="6" t="s">
        <v>128</v>
      </c>
      <c r="Q7" s="73">
        <f t="shared" si="6"/>
        <v>45.043222382445137</v>
      </c>
      <c r="R7" s="77" t="s">
        <v>129</v>
      </c>
      <c r="S7" s="73">
        <f t="shared" si="7"/>
        <v>19.297929589341695</v>
      </c>
      <c r="T7" s="77" t="s">
        <v>130</v>
      </c>
      <c r="U7" s="77" t="s">
        <v>120</v>
      </c>
      <c r="V7" s="73">
        <f t="shared" si="8"/>
        <v>42.835221285266456</v>
      </c>
      <c r="W7" s="6" t="s">
        <v>131</v>
      </c>
      <c r="X7" s="1">
        <f t="shared" si="9"/>
        <v>10.708805321316614</v>
      </c>
      <c r="Y7" s="6" t="s">
        <v>107</v>
      </c>
      <c r="Z7" s="6" t="s">
        <v>132</v>
      </c>
      <c r="AA7" s="73">
        <f t="shared" si="10"/>
        <v>21.439690653605016</v>
      </c>
    </row>
    <row r="8" spans="1:27" s="74" customFormat="1" ht="20.100000000000001" customHeight="1">
      <c r="A8" s="7">
        <v>10473</v>
      </c>
      <c r="B8" s="7" t="s">
        <v>13</v>
      </c>
      <c r="C8" s="7">
        <v>34241</v>
      </c>
      <c r="D8" s="7">
        <v>964</v>
      </c>
      <c r="E8" s="74">
        <f t="shared" si="0"/>
        <v>35.519709543568467</v>
      </c>
      <c r="F8" s="74">
        <f t="shared" si="1"/>
        <v>21311.82572614108</v>
      </c>
      <c r="G8" s="74">
        <f t="shared" si="2"/>
        <v>2131182.5726141082</v>
      </c>
      <c r="H8" s="74">
        <v>100</v>
      </c>
      <c r="I8" s="8" t="s">
        <v>133</v>
      </c>
      <c r="J8" s="74">
        <f t="shared" si="3"/>
        <v>667060.14522821584</v>
      </c>
      <c r="K8" s="9" t="s">
        <v>134</v>
      </c>
      <c r="L8" s="74">
        <f t="shared" si="4"/>
        <v>200.11804356846474</v>
      </c>
      <c r="M8" s="9" t="s">
        <v>135</v>
      </c>
      <c r="N8" s="74">
        <f t="shared" si="5"/>
        <v>116.8689374439834</v>
      </c>
      <c r="O8" s="9" t="s">
        <v>136</v>
      </c>
      <c r="P8" s="9" t="s">
        <v>137</v>
      </c>
      <c r="Q8" s="74">
        <f t="shared" si="6"/>
        <v>46.827622195020751</v>
      </c>
      <c r="R8" s="78" t="s">
        <v>138</v>
      </c>
      <c r="S8" s="73">
        <f t="shared" si="7"/>
        <v>44.226087628630708</v>
      </c>
      <c r="T8" s="78" t="s">
        <v>81</v>
      </c>
      <c r="U8" s="78" t="s">
        <v>137</v>
      </c>
      <c r="V8" s="73">
        <f t="shared" si="8"/>
        <v>46.827622195020751</v>
      </c>
      <c r="W8" s="9" t="s">
        <v>139</v>
      </c>
      <c r="X8" s="7">
        <f t="shared" si="9"/>
        <v>7.8046036991701246</v>
      </c>
      <c r="Y8" s="9" t="s">
        <v>140</v>
      </c>
      <c r="Z8" s="9" t="s">
        <v>141</v>
      </c>
      <c r="AA8" s="73">
        <f t="shared" si="10"/>
        <v>5.2030691327800831</v>
      </c>
    </row>
    <row r="9" spans="1:27" s="74" customFormat="1" ht="20.100000000000001" customHeight="1">
      <c r="A9" s="7">
        <v>10474</v>
      </c>
      <c r="B9" s="7" t="s">
        <v>13</v>
      </c>
      <c r="C9" s="7">
        <v>76255</v>
      </c>
      <c r="D9" s="7">
        <v>969</v>
      </c>
      <c r="E9" s="74">
        <f t="shared" si="0"/>
        <v>78.694530443756449</v>
      </c>
      <c r="F9" s="74">
        <f t="shared" si="1"/>
        <v>47216.718266253869</v>
      </c>
      <c r="G9" s="74">
        <f t="shared" si="2"/>
        <v>4721671.8266253872</v>
      </c>
      <c r="H9" s="74">
        <v>100</v>
      </c>
      <c r="I9" s="8" t="s">
        <v>142</v>
      </c>
      <c r="J9" s="74">
        <f t="shared" si="3"/>
        <v>1487326.6253869969</v>
      </c>
      <c r="K9" s="9" t="s">
        <v>143</v>
      </c>
      <c r="L9" s="74">
        <f t="shared" si="4"/>
        <v>490.81778637770896</v>
      </c>
      <c r="M9" s="9" t="s">
        <v>144</v>
      </c>
      <c r="N9" s="74">
        <f t="shared" si="5"/>
        <v>372.03988207430336</v>
      </c>
      <c r="O9" s="9" t="s">
        <v>145</v>
      </c>
      <c r="P9" s="9" t="s">
        <v>146</v>
      </c>
      <c r="Q9" s="74">
        <f t="shared" si="6"/>
        <v>102.09009956656345</v>
      </c>
      <c r="R9" s="78" t="s">
        <v>147</v>
      </c>
      <c r="S9" s="73">
        <f t="shared" si="7"/>
        <v>73.622667956656343</v>
      </c>
      <c r="T9" s="78" t="s">
        <v>81</v>
      </c>
      <c r="U9" s="78" t="s">
        <v>146</v>
      </c>
      <c r="V9" s="73">
        <f t="shared" si="8"/>
        <v>102.09009956656345</v>
      </c>
      <c r="W9" s="9" t="s">
        <v>148</v>
      </c>
      <c r="X9" s="7">
        <f t="shared" si="9"/>
        <v>4.0737876269349842</v>
      </c>
      <c r="Y9" s="9" t="s">
        <v>149</v>
      </c>
      <c r="Z9" s="9" t="s">
        <v>150</v>
      </c>
      <c r="AA9" s="73">
        <f t="shared" si="10"/>
        <v>40.885121605263159</v>
      </c>
    </row>
    <row r="10" spans="1:27" s="74" customFormat="1" ht="20.100000000000001" customHeight="1">
      <c r="A10" s="7">
        <v>10475</v>
      </c>
      <c r="B10" s="7" t="s">
        <v>13</v>
      </c>
      <c r="C10" s="7">
        <v>40114</v>
      </c>
      <c r="D10" s="7">
        <v>971</v>
      </c>
      <c r="E10" s="74">
        <f t="shared" si="0"/>
        <v>41.312049433573634</v>
      </c>
      <c r="F10" s="74">
        <f t="shared" si="1"/>
        <v>24787.229660144181</v>
      </c>
      <c r="G10" s="74">
        <f t="shared" si="2"/>
        <v>2478722.9660144183</v>
      </c>
      <c r="H10" s="74">
        <v>100</v>
      </c>
      <c r="I10" s="8" t="s">
        <v>151</v>
      </c>
      <c r="J10" s="74">
        <f t="shared" si="3"/>
        <v>783276.45726055617</v>
      </c>
      <c r="K10" s="9" t="s">
        <v>152</v>
      </c>
      <c r="L10" s="74">
        <f t="shared" si="4"/>
        <v>227.15017260556129</v>
      </c>
      <c r="M10" s="9" t="s">
        <v>153</v>
      </c>
      <c r="N10" s="74">
        <f t="shared" si="5"/>
        <v>169.22687859114316</v>
      </c>
      <c r="O10" s="9" t="s">
        <v>154</v>
      </c>
      <c r="P10" s="9" t="s">
        <v>155</v>
      </c>
      <c r="Q10" s="74">
        <f t="shared" si="6"/>
        <v>60.194795740473744</v>
      </c>
      <c r="R10" s="78" t="s">
        <v>156</v>
      </c>
      <c r="S10" s="73">
        <f t="shared" si="7"/>
        <v>44.521433830690015</v>
      </c>
      <c r="T10" s="78" t="s">
        <v>157</v>
      </c>
      <c r="U10" s="78" t="s">
        <v>158</v>
      </c>
      <c r="V10" s="73">
        <f t="shared" si="8"/>
        <v>55.651792288362515</v>
      </c>
      <c r="W10" s="9" t="s">
        <v>159</v>
      </c>
      <c r="X10" s="7">
        <f t="shared" si="9"/>
        <v>2.2260716915345005</v>
      </c>
      <c r="Y10" s="9" t="s">
        <v>160</v>
      </c>
      <c r="Z10" s="9" t="s">
        <v>161</v>
      </c>
      <c r="AA10" s="73">
        <f t="shared" si="10"/>
        <v>20.034645223810507</v>
      </c>
    </row>
    <row r="11" spans="1:27" s="74" customFormat="1" ht="20.100000000000001" customHeight="1">
      <c r="A11" s="7">
        <v>10476</v>
      </c>
      <c r="B11" s="7" t="s">
        <v>13</v>
      </c>
      <c r="C11" s="7">
        <v>23121</v>
      </c>
      <c r="D11" s="7">
        <v>965</v>
      </c>
      <c r="E11" s="74">
        <f t="shared" si="0"/>
        <v>23.95958549222798</v>
      </c>
      <c r="F11" s="74">
        <f t="shared" si="1"/>
        <v>14375.751295336788</v>
      </c>
      <c r="G11" s="74">
        <f t="shared" si="2"/>
        <v>1437575.1295336788</v>
      </c>
      <c r="H11" s="74">
        <v>100</v>
      </c>
      <c r="I11" s="8" t="s">
        <v>124</v>
      </c>
      <c r="J11" s="74">
        <f t="shared" si="3"/>
        <v>467211.91709844558</v>
      </c>
      <c r="K11" s="9" t="s">
        <v>152</v>
      </c>
      <c r="L11" s="74">
        <f t="shared" si="4"/>
        <v>135.49145595854921</v>
      </c>
      <c r="M11" s="9" t="s">
        <v>144</v>
      </c>
      <c r="N11" s="74">
        <f t="shared" si="5"/>
        <v>102.70252361658031</v>
      </c>
      <c r="O11" s="9" t="s">
        <v>162</v>
      </c>
      <c r="P11" s="9" t="s">
        <v>163</v>
      </c>
      <c r="Q11" s="74">
        <f t="shared" si="6"/>
        <v>19.646261113989635</v>
      </c>
      <c r="R11" s="78" t="s">
        <v>109</v>
      </c>
      <c r="S11" s="73">
        <f t="shared" si="7"/>
        <v>15.310534523316061</v>
      </c>
      <c r="T11" s="78" t="s">
        <v>81</v>
      </c>
      <c r="U11" s="78" t="s">
        <v>163</v>
      </c>
      <c r="V11" s="73">
        <f t="shared" si="8"/>
        <v>19.646261113989635</v>
      </c>
      <c r="W11" s="9" t="s">
        <v>101</v>
      </c>
      <c r="X11" s="7">
        <f t="shared" si="9"/>
        <v>0</v>
      </c>
      <c r="Y11" s="9" t="s">
        <v>164</v>
      </c>
      <c r="Z11" s="9" t="s">
        <v>109</v>
      </c>
      <c r="AA11" s="73">
        <f t="shared" si="10"/>
        <v>15.310534523316061</v>
      </c>
    </row>
    <row r="12" spans="1:27" s="74" customFormat="1" ht="20.100000000000001" customHeight="1">
      <c r="A12" s="7">
        <v>10477</v>
      </c>
      <c r="B12" s="7" t="s">
        <v>13</v>
      </c>
      <c r="C12" s="7">
        <v>45133</v>
      </c>
      <c r="D12" s="7">
        <v>967</v>
      </c>
      <c r="E12" s="74">
        <f t="shared" si="0"/>
        <v>46.673216132368147</v>
      </c>
      <c r="F12" s="74">
        <f t="shared" si="1"/>
        <v>28003.929679420889</v>
      </c>
      <c r="G12" s="74">
        <f t="shared" si="2"/>
        <v>2800392.9679420888</v>
      </c>
      <c r="H12" s="74">
        <v>100</v>
      </c>
      <c r="I12" s="8" t="s">
        <v>165</v>
      </c>
      <c r="J12" s="74">
        <f t="shared" si="3"/>
        <v>862521.03412616334</v>
      </c>
      <c r="K12" s="9" t="s">
        <v>166</v>
      </c>
      <c r="L12" s="74">
        <f t="shared" si="4"/>
        <v>293.25715160289553</v>
      </c>
      <c r="M12" s="9" t="s">
        <v>167</v>
      </c>
      <c r="N12" s="74">
        <f t="shared" si="5"/>
        <v>237.5382927983454</v>
      </c>
      <c r="O12" s="9" t="s">
        <v>168</v>
      </c>
      <c r="P12" s="9" t="s">
        <v>169</v>
      </c>
      <c r="Q12" s="74">
        <f t="shared" si="6"/>
        <v>80.352459539193376</v>
      </c>
      <c r="R12" s="78" t="s">
        <v>170</v>
      </c>
      <c r="S12" s="73">
        <f t="shared" si="7"/>
        <v>19.208343429989657</v>
      </c>
      <c r="T12" s="78" t="s">
        <v>110</v>
      </c>
      <c r="U12" s="78" t="s">
        <v>171</v>
      </c>
      <c r="V12" s="73">
        <f t="shared" si="8"/>
        <v>76.83337371995863</v>
      </c>
      <c r="W12" s="9" t="s">
        <v>101</v>
      </c>
      <c r="X12" s="7">
        <f t="shared" si="9"/>
        <v>0</v>
      </c>
      <c r="Y12" s="9" t="s">
        <v>172</v>
      </c>
      <c r="Z12" s="9" t="s">
        <v>173</v>
      </c>
      <c r="AA12" s="73">
        <f t="shared" si="10"/>
        <v>34.897601040744568</v>
      </c>
    </row>
    <row r="13" spans="1:27" s="74" customFormat="1" ht="20.100000000000001" customHeight="1">
      <c r="A13" s="7">
        <v>10478</v>
      </c>
      <c r="B13" s="7" t="s">
        <v>13</v>
      </c>
      <c r="C13" s="7">
        <v>42477</v>
      </c>
      <c r="D13" s="7">
        <v>972</v>
      </c>
      <c r="E13" s="74">
        <f t="shared" si="0"/>
        <v>43.700617283950621</v>
      </c>
      <c r="F13" s="74">
        <f t="shared" si="1"/>
        <v>26220.370370370372</v>
      </c>
      <c r="G13" s="74">
        <f t="shared" si="2"/>
        <v>2622037.0370370373</v>
      </c>
      <c r="H13" s="74">
        <v>100</v>
      </c>
      <c r="I13" s="8" t="s">
        <v>174</v>
      </c>
      <c r="J13" s="74">
        <f t="shared" si="3"/>
        <v>749902.59259259258</v>
      </c>
      <c r="K13" s="9" t="s">
        <v>175</v>
      </c>
      <c r="L13" s="74">
        <f t="shared" si="4"/>
        <v>179.97662222222223</v>
      </c>
      <c r="M13" s="9" t="s">
        <v>176</v>
      </c>
      <c r="N13" s="74">
        <f t="shared" si="5"/>
        <v>145.06115751111113</v>
      </c>
      <c r="O13" s="9" t="s">
        <v>177</v>
      </c>
      <c r="P13" s="9" t="s">
        <v>178</v>
      </c>
      <c r="Q13" s="74">
        <f t="shared" si="6"/>
        <v>48.413711377777787</v>
      </c>
      <c r="R13" s="78" t="s">
        <v>179</v>
      </c>
      <c r="S13" s="73">
        <f t="shared" si="7"/>
        <v>7.7389947555555549</v>
      </c>
      <c r="T13" s="78" t="s">
        <v>81</v>
      </c>
      <c r="U13" s="78" t="s">
        <v>178</v>
      </c>
      <c r="V13" s="73">
        <f t="shared" si="8"/>
        <v>48.413711377777787</v>
      </c>
      <c r="W13" s="9" t="s">
        <v>180</v>
      </c>
      <c r="X13" s="7">
        <f t="shared" si="9"/>
        <v>1.9437475200000003</v>
      </c>
      <c r="Y13" s="9" t="s">
        <v>181</v>
      </c>
      <c r="Z13" s="9" t="s">
        <v>182</v>
      </c>
      <c r="AA13" s="73">
        <f t="shared" si="10"/>
        <v>17.42173703111111</v>
      </c>
    </row>
    <row r="14" spans="1:27" s="75" customFormat="1" ht="20.100000000000001" customHeight="1">
      <c r="A14" s="3">
        <v>10479</v>
      </c>
      <c r="B14" s="3" t="s">
        <v>14</v>
      </c>
      <c r="C14" s="3">
        <v>54744</v>
      </c>
      <c r="D14" s="3">
        <v>743</v>
      </c>
      <c r="E14" s="75">
        <f t="shared" si="0"/>
        <v>73.679676985195158</v>
      </c>
      <c r="F14" s="75">
        <f t="shared" si="1"/>
        <v>44207.806191117095</v>
      </c>
      <c r="G14" s="75">
        <f t="shared" si="2"/>
        <v>4420780.6191117093</v>
      </c>
      <c r="H14" s="75">
        <v>100</v>
      </c>
      <c r="I14" s="10" t="s">
        <v>183</v>
      </c>
      <c r="J14" s="75">
        <f t="shared" si="3"/>
        <v>1321813.4051144011</v>
      </c>
      <c r="K14" s="11" t="s">
        <v>184</v>
      </c>
      <c r="L14" s="75">
        <f t="shared" si="4"/>
        <v>753.43364091520857</v>
      </c>
      <c r="M14" s="11" t="s">
        <v>185</v>
      </c>
      <c r="N14" s="75">
        <f t="shared" si="5"/>
        <v>626.10335560053829</v>
      </c>
      <c r="O14" s="11" t="s">
        <v>186</v>
      </c>
      <c r="P14" s="11" t="s">
        <v>187</v>
      </c>
      <c r="Q14" s="75">
        <f t="shared" si="6"/>
        <v>259.93460611574693</v>
      </c>
      <c r="R14" s="79" t="s">
        <v>188</v>
      </c>
      <c r="S14" s="73">
        <f t="shared" si="7"/>
        <v>127.33028531467026</v>
      </c>
      <c r="T14" s="79" t="s">
        <v>189</v>
      </c>
      <c r="U14" s="79" t="s">
        <v>190</v>
      </c>
      <c r="V14" s="73">
        <f t="shared" si="8"/>
        <v>247.87966786110363</v>
      </c>
      <c r="W14" s="11" t="s">
        <v>121</v>
      </c>
      <c r="X14" s="3">
        <f t="shared" si="9"/>
        <v>5.8767823991386265</v>
      </c>
      <c r="Y14" s="11" t="s">
        <v>191</v>
      </c>
      <c r="Z14" s="11" t="s">
        <v>192</v>
      </c>
      <c r="AA14" s="73">
        <f t="shared" si="10"/>
        <v>62.082932011413185</v>
      </c>
    </row>
    <row r="15" spans="1:27" s="75" customFormat="1" ht="20.100000000000001" customHeight="1">
      <c r="A15" s="3">
        <v>10480</v>
      </c>
      <c r="B15" s="3" t="s">
        <v>14</v>
      </c>
      <c r="C15" s="3">
        <v>46733</v>
      </c>
      <c r="D15" s="3">
        <v>961</v>
      </c>
      <c r="E15" s="75">
        <f t="shared" si="0"/>
        <v>48.629552549427679</v>
      </c>
      <c r="F15" s="75">
        <f t="shared" si="1"/>
        <v>29177.731529656608</v>
      </c>
      <c r="G15" s="75">
        <f t="shared" si="2"/>
        <v>2917773.1529656607</v>
      </c>
      <c r="H15" s="75">
        <v>100</v>
      </c>
      <c r="I15" s="10" t="s">
        <v>193</v>
      </c>
      <c r="J15" s="75">
        <f t="shared" si="3"/>
        <v>989125.09885535901</v>
      </c>
      <c r="K15" s="11" t="s">
        <v>194</v>
      </c>
      <c r="L15" s="75">
        <f t="shared" si="4"/>
        <v>207.71627075962539</v>
      </c>
      <c r="M15" s="11" t="s">
        <v>195</v>
      </c>
      <c r="N15" s="75">
        <f t="shared" si="5"/>
        <v>175.31253252112381</v>
      </c>
      <c r="O15" s="11" t="s">
        <v>186</v>
      </c>
      <c r="P15" s="11" t="s">
        <v>196</v>
      </c>
      <c r="Q15" s="75">
        <f t="shared" si="6"/>
        <v>72.908411036628507</v>
      </c>
      <c r="R15" s="79" t="s">
        <v>197</v>
      </c>
      <c r="S15" s="73">
        <f t="shared" si="7"/>
        <v>37.804361278251818</v>
      </c>
      <c r="T15" s="79" t="s">
        <v>198</v>
      </c>
      <c r="U15" s="79" t="s">
        <v>168</v>
      </c>
      <c r="V15" s="73">
        <f t="shared" si="8"/>
        <v>70.208099516753393</v>
      </c>
      <c r="W15" s="11" t="s">
        <v>101</v>
      </c>
      <c r="X15" s="3">
        <f t="shared" si="9"/>
        <v>0</v>
      </c>
      <c r="Y15" s="11" t="s">
        <v>199</v>
      </c>
      <c r="Z15" s="11" t="s">
        <v>200</v>
      </c>
      <c r="AA15" s="73">
        <f t="shared" si="10"/>
        <v>13.480785972299687</v>
      </c>
    </row>
    <row r="16" spans="1:27" s="75" customFormat="1" ht="20.100000000000001" customHeight="1">
      <c r="A16" s="3">
        <v>10481</v>
      </c>
      <c r="B16" s="3" t="s">
        <v>14</v>
      </c>
      <c r="C16" s="3">
        <v>39443</v>
      </c>
      <c r="D16" s="3">
        <v>955</v>
      </c>
      <c r="E16" s="75">
        <f t="shared" si="0"/>
        <v>41.301570680628274</v>
      </c>
      <c r="F16" s="75">
        <f t="shared" si="1"/>
        <v>24780.942408376963</v>
      </c>
      <c r="G16" s="75">
        <f t="shared" si="2"/>
        <v>2478094.2408376965</v>
      </c>
      <c r="H16" s="75">
        <v>100</v>
      </c>
      <c r="I16" s="10" t="s">
        <v>201</v>
      </c>
      <c r="J16" s="75">
        <f t="shared" si="3"/>
        <v>832639.66492146603</v>
      </c>
      <c r="K16" s="11" t="s">
        <v>202</v>
      </c>
      <c r="L16" s="75">
        <f t="shared" si="4"/>
        <v>166.52793298429322</v>
      </c>
      <c r="M16" s="11" t="s">
        <v>203</v>
      </c>
      <c r="N16" s="75">
        <f t="shared" si="5"/>
        <v>126.89428493403143</v>
      </c>
      <c r="O16" s="11" t="s">
        <v>204</v>
      </c>
      <c r="P16" s="11" t="s">
        <v>205</v>
      </c>
      <c r="Q16" s="75">
        <f t="shared" si="6"/>
        <v>39.633648050261783</v>
      </c>
      <c r="R16" s="79" t="s">
        <v>206</v>
      </c>
      <c r="S16" s="73">
        <f t="shared" si="7"/>
        <v>42.298094978010475</v>
      </c>
      <c r="T16" s="79" t="s">
        <v>99</v>
      </c>
      <c r="U16" s="79" t="s">
        <v>207</v>
      </c>
      <c r="V16" s="73">
        <f t="shared" si="8"/>
        <v>36.969201122513091</v>
      </c>
      <c r="W16" s="11" t="s">
        <v>101</v>
      </c>
      <c r="X16" s="3">
        <f t="shared" si="9"/>
        <v>0</v>
      </c>
      <c r="Y16" s="11" t="s">
        <v>208</v>
      </c>
      <c r="Z16" s="11" t="s">
        <v>209</v>
      </c>
      <c r="AA16" s="73">
        <f t="shared" si="10"/>
        <v>7.9267296100523579</v>
      </c>
    </row>
    <row r="17" spans="1:27" s="75" customFormat="1" ht="20.100000000000001" customHeight="1">
      <c r="A17" s="3">
        <v>10482</v>
      </c>
      <c r="B17" s="3" t="s">
        <v>14</v>
      </c>
      <c r="C17" s="3">
        <v>52810</v>
      </c>
      <c r="D17" s="3">
        <v>969</v>
      </c>
      <c r="E17" s="75">
        <f t="shared" si="0"/>
        <v>54.499484004127964</v>
      </c>
      <c r="F17" s="75">
        <f t="shared" si="1"/>
        <v>32699.690402476779</v>
      </c>
      <c r="G17" s="75">
        <f t="shared" si="2"/>
        <v>3269969.0402476778</v>
      </c>
      <c r="H17" s="75">
        <v>100</v>
      </c>
      <c r="I17" s="10" t="s">
        <v>142</v>
      </c>
      <c r="J17" s="75">
        <f t="shared" si="3"/>
        <v>1030040.2476780185</v>
      </c>
      <c r="K17" s="11" t="s">
        <v>210</v>
      </c>
      <c r="L17" s="75">
        <f t="shared" si="4"/>
        <v>267.81046439628477</v>
      </c>
      <c r="M17" s="11" t="s">
        <v>211</v>
      </c>
      <c r="N17" s="75">
        <f t="shared" si="5"/>
        <v>207.5531099071207</v>
      </c>
      <c r="O17" s="11" t="s">
        <v>212</v>
      </c>
      <c r="P17" s="11" t="s">
        <v>177</v>
      </c>
      <c r="Q17" s="75">
        <f t="shared" si="6"/>
        <v>89.180884643962827</v>
      </c>
      <c r="R17" s="79" t="s">
        <v>90</v>
      </c>
      <c r="S17" s="73">
        <f t="shared" si="7"/>
        <v>36.154412693498443</v>
      </c>
      <c r="T17" s="79" t="s">
        <v>213</v>
      </c>
      <c r="U17" s="79" t="s">
        <v>214</v>
      </c>
      <c r="V17" s="73">
        <f t="shared" si="8"/>
        <v>86.770590464396264</v>
      </c>
      <c r="W17" s="11" t="s">
        <v>215</v>
      </c>
      <c r="X17" s="3">
        <f t="shared" si="9"/>
        <v>2.4102941795665629</v>
      </c>
      <c r="Y17" s="11" t="s">
        <v>216</v>
      </c>
      <c r="Z17" s="11" t="s">
        <v>217</v>
      </c>
      <c r="AA17" s="73">
        <f t="shared" si="10"/>
        <v>9.6411767182662516</v>
      </c>
    </row>
    <row r="18" spans="1:27" s="75" customFormat="1" ht="20.100000000000001" customHeight="1">
      <c r="A18" s="3">
        <v>10483</v>
      </c>
      <c r="B18" s="3" t="s">
        <v>14</v>
      </c>
      <c r="C18" s="3">
        <v>51227</v>
      </c>
      <c r="D18" s="3">
        <v>970</v>
      </c>
      <c r="E18" s="75">
        <f t="shared" si="0"/>
        <v>52.811340206185569</v>
      </c>
      <c r="F18" s="75">
        <f t="shared" si="1"/>
        <v>31686.804123711343</v>
      </c>
      <c r="G18" s="75">
        <f t="shared" si="2"/>
        <v>3168680.4123711344</v>
      </c>
      <c r="H18" s="75">
        <v>100</v>
      </c>
      <c r="I18" s="10" t="s">
        <v>218</v>
      </c>
      <c r="J18" s="75">
        <f t="shared" si="3"/>
        <v>1052001.8969072166</v>
      </c>
      <c r="K18" s="11" t="s">
        <v>219</v>
      </c>
      <c r="L18" s="75">
        <f t="shared" si="4"/>
        <v>126.24022762886599</v>
      </c>
      <c r="M18" s="11" t="s">
        <v>220</v>
      </c>
      <c r="N18" s="75">
        <f t="shared" si="5"/>
        <v>99.982260282061873</v>
      </c>
      <c r="O18" s="11" t="s">
        <v>221</v>
      </c>
      <c r="P18" s="11" t="s">
        <v>222</v>
      </c>
      <c r="Q18" s="75">
        <f t="shared" si="6"/>
        <v>52.642174921237121</v>
      </c>
      <c r="R18" s="79" t="s">
        <v>204</v>
      </c>
      <c r="S18" s="73">
        <f t="shared" si="7"/>
        <v>39.38695102020619</v>
      </c>
      <c r="T18" s="79" t="s">
        <v>81</v>
      </c>
      <c r="U18" s="79" t="s">
        <v>222</v>
      </c>
      <c r="V18" s="73">
        <f t="shared" si="8"/>
        <v>52.642174921237121</v>
      </c>
      <c r="W18" s="11" t="s">
        <v>101</v>
      </c>
      <c r="X18" s="3">
        <f t="shared" si="9"/>
        <v>0</v>
      </c>
      <c r="Y18" s="11" t="s">
        <v>101</v>
      </c>
      <c r="Z18" s="11" t="s">
        <v>101</v>
      </c>
      <c r="AA18" s="73">
        <f t="shared" si="10"/>
        <v>0</v>
      </c>
    </row>
    <row r="19" spans="1:27" s="75" customFormat="1" ht="20.100000000000001" customHeight="1">
      <c r="A19" s="3">
        <v>10484</v>
      </c>
      <c r="B19" s="3" t="s">
        <v>14</v>
      </c>
      <c r="C19" s="3">
        <v>68056</v>
      </c>
      <c r="D19" s="3">
        <v>953</v>
      </c>
      <c r="E19" s="75">
        <f t="shared" si="0"/>
        <v>71.412381951731376</v>
      </c>
      <c r="F19" s="75">
        <f t="shared" si="1"/>
        <v>42847.429171038828</v>
      </c>
      <c r="G19" s="75">
        <f t="shared" si="2"/>
        <v>4284742.9171038829</v>
      </c>
      <c r="H19" s="75">
        <v>100</v>
      </c>
      <c r="I19" s="10" t="s">
        <v>201</v>
      </c>
      <c r="J19" s="75">
        <f t="shared" si="3"/>
        <v>1439673.6201469048</v>
      </c>
      <c r="K19" s="11" t="s">
        <v>223</v>
      </c>
      <c r="L19" s="75">
        <f t="shared" si="4"/>
        <v>316.72819643231907</v>
      </c>
      <c r="M19" s="11" t="s">
        <v>224</v>
      </c>
      <c r="N19" s="75">
        <f t="shared" si="5"/>
        <v>247.68144961007351</v>
      </c>
      <c r="O19" s="11" t="s">
        <v>225</v>
      </c>
      <c r="P19" s="11" t="s">
        <v>226</v>
      </c>
      <c r="Q19" s="75">
        <f t="shared" si="6"/>
        <v>125.42436578719835</v>
      </c>
      <c r="R19" s="79" t="s">
        <v>173</v>
      </c>
      <c r="S19" s="73">
        <f t="shared" si="7"/>
        <v>37.690655375445964</v>
      </c>
      <c r="T19" s="79" t="s">
        <v>227</v>
      </c>
      <c r="U19" s="79" t="s">
        <v>228</v>
      </c>
      <c r="V19" s="73">
        <f t="shared" si="8"/>
        <v>122.25708382287516</v>
      </c>
      <c r="W19" s="11" t="s">
        <v>229</v>
      </c>
      <c r="X19" s="3">
        <f t="shared" si="9"/>
        <v>3.1356091446799592</v>
      </c>
      <c r="Y19" s="11" t="s">
        <v>230</v>
      </c>
      <c r="Z19" s="11" t="s">
        <v>231</v>
      </c>
      <c r="AA19" s="73">
        <f t="shared" si="10"/>
        <v>28.220482302119628</v>
      </c>
    </row>
    <row r="20" spans="1:27" s="76" customFormat="1" ht="20.100000000000001" customHeight="1">
      <c r="A20" s="4">
        <v>10485</v>
      </c>
      <c r="B20" s="4" t="s">
        <v>15</v>
      </c>
      <c r="C20" s="4">
        <v>47809</v>
      </c>
      <c r="D20" s="4">
        <v>964</v>
      </c>
      <c r="E20" s="76">
        <f t="shared" si="0"/>
        <v>49.594398340248965</v>
      </c>
      <c r="F20" s="76">
        <f t="shared" si="1"/>
        <v>29756.63900414938</v>
      </c>
      <c r="G20" s="76">
        <f t="shared" si="2"/>
        <v>2975663.9004149381</v>
      </c>
      <c r="H20" s="76">
        <v>100</v>
      </c>
      <c r="I20" s="12" t="s">
        <v>232</v>
      </c>
      <c r="J20" s="76">
        <f t="shared" si="3"/>
        <v>895674.83402489638</v>
      </c>
      <c r="K20" s="13" t="s">
        <v>233</v>
      </c>
      <c r="L20" s="76">
        <f t="shared" si="4"/>
        <v>528.44815207468889</v>
      </c>
      <c r="M20" s="13" t="s">
        <v>234</v>
      </c>
      <c r="N20" s="76">
        <f t="shared" si="5"/>
        <v>429.09989948464744</v>
      </c>
      <c r="O20" s="13" t="s">
        <v>235</v>
      </c>
      <c r="P20" s="13" t="s">
        <v>236</v>
      </c>
      <c r="Q20" s="76">
        <f t="shared" si="6"/>
        <v>121.01462682510376</v>
      </c>
      <c r="R20" s="80" t="s">
        <v>237</v>
      </c>
      <c r="S20" s="73">
        <f t="shared" si="7"/>
        <v>85.080152484024907</v>
      </c>
      <c r="T20" s="80" t="s">
        <v>81</v>
      </c>
      <c r="U20" s="80" t="s">
        <v>236</v>
      </c>
      <c r="V20" s="73">
        <f t="shared" si="8"/>
        <v>121.01462682510376</v>
      </c>
      <c r="W20" s="13" t="s">
        <v>238</v>
      </c>
      <c r="X20" s="4">
        <f t="shared" si="9"/>
        <v>5.4430159663692956</v>
      </c>
      <c r="Y20" s="13" t="s">
        <v>239</v>
      </c>
      <c r="Z20" s="13" t="s">
        <v>240</v>
      </c>
      <c r="AA20" s="73">
        <f t="shared" si="10"/>
        <v>64.999122705186736</v>
      </c>
    </row>
    <row r="21" spans="1:27" s="76" customFormat="1" ht="20.100000000000001" customHeight="1">
      <c r="A21" s="4">
        <v>10486</v>
      </c>
      <c r="B21" s="4" t="s">
        <v>15</v>
      </c>
      <c r="C21" s="4">
        <v>36071</v>
      </c>
      <c r="D21" s="4">
        <v>957</v>
      </c>
      <c r="E21" s="76">
        <f t="shared" si="0"/>
        <v>37.69174503657262</v>
      </c>
      <c r="F21" s="76">
        <f t="shared" si="1"/>
        <v>22615.04702194357</v>
      </c>
      <c r="G21" s="76">
        <f t="shared" si="2"/>
        <v>2261504.7021943568</v>
      </c>
      <c r="H21" s="76">
        <v>100</v>
      </c>
      <c r="I21" s="12" t="s">
        <v>94</v>
      </c>
      <c r="J21" s="76">
        <f t="shared" si="3"/>
        <v>716896.99059561116</v>
      </c>
      <c r="K21" s="13" t="s">
        <v>143</v>
      </c>
      <c r="L21" s="76">
        <f t="shared" si="4"/>
        <v>236.57600689655169</v>
      </c>
      <c r="M21" s="13" t="s">
        <v>241</v>
      </c>
      <c r="N21" s="76">
        <f t="shared" si="5"/>
        <v>178.14173319310342</v>
      </c>
      <c r="O21" s="13" t="s">
        <v>242</v>
      </c>
      <c r="P21" s="13" t="s">
        <v>243</v>
      </c>
      <c r="Q21" s="76">
        <f t="shared" si="6"/>
        <v>21.504759026896547</v>
      </c>
      <c r="R21" s="80" t="s">
        <v>197</v>
      </c>
      <c r="S21" s="73">
        <f t="shared" si="7"/>
        <v>43.056833255172407</v>
      </c>
      <c r="T21" s="80" t="s">
        <v>244</v>
      </c>
      <c r="U21" s="80" t="s">
        <v>245</v>
      </c>
      <c r="V21" s="73">
        <f t="shared" si="8"/>
        <v>18.429270937241377</v>
      </c>
      <c r="W21" s="13" t="s">
        <v>141</v>
      </c>
      <c r="X21" s="4">
        <f t="shared" si="9"/>
        <v>6.1509761793103435</v>
      </c>
      <c r="Y21" s="13" t="s">
        <v>246</v>
      </c>
      <c r="Z21" s="13" t="s">
        <v>247</v>
      </c>
      <c r="AA21" s="73">
        <f t="shared" si="10"/>
        <v>30.754880896551722</v>
      </c>
    </row>
    <row r="22" spans="1:27" s="76" customFormat="1" ht="20.100000000000001" customHeight="1">
      <c r="A22" s="4">
        <v>10487</v>
      </c>
      <c r="B22" s="4" t="s">
        <v>15</v>
      </c>
      <c r="C22" s="4">
        <v>56886</v>
      </c>
      <c r="D22" s="4">
        <v>966</v>
      </c>
      <c r="E22" s="76">
        <f t="shared" si="0"/>
        <v>58.888198757763973</v>
      </c>
      <c r="F22" s="76">
        <f t="shared" si="1"/>
        <v>35332.919254658387</v>
      </c>
      <c r="G22" s="76">
        <f t="shared" si="2"/>
        <v>3533291.9254658385</v>
      </c>
      <c r="H22" s="76">
        <v>100</v>
      </c>
      <c r="I22" s="12" t="s">
        <v>248</v>
      </c>
      <c r="J22" s="76">
        <f t="shared" si="3"/>
        <v>1169519.6273291926</v>
      </c>
      <c r="K22" s="13" t="s">
        <v>125</v>
      </c>
      <c r="L22" s="76">
        <f t="shared" si="4"/>
        <v>432.72226211180123</v>
      </c>
      <c r="M22" s="13" t="s">
        <v>167</v>
      </c>
      <c r="N22" s="76">
        <f t="shared" si="5"/>
        <v>350.50503231055905</v>
      </c>
      <c r="O22" s="13" t="s">
        <v>249</v>
      </c>
      <c r="P22" s="13" t="s">
        <v>114</v>
      </c>
      <c r="Q22" s="76">
        <f t="shared" si="6"/>
        <v>70.966450986335403</v>
      </c>
      <c r="R22" s="80" t="s">
        <v>250</v>
      </c>
      <c r="S22" s="73">
        <f t="shared" si="7"/>
        <v>78.322729442236025</v>
      </c>
      <c r="T22" s="80" t="s">
        <v>81</v>
      </c>
      <c r="U22" s="80" t="s">
        <v>114</v>
      </c>
      <c r="V22" s="73">
        <f t="shared" si="8"/>
        <v>70.966450986335403</v>
      </c>
      <c r="W22" s="13" t="s">
        <v>101</v>
      </c>
      <c r="X22" s="4">
        <f t="shared" si="9"/>
        <v>0</v>
      </c>
      <c r="Y22" s="13" t="s">
        <v>251</v>
      </c>
      <c r="Z22" s="13" t="s">
        <v>252</v>
      </c>
      <c r="AA22" s="73">
        <f t="shared" si="10"/>
        <v>55.821171812422357</v>
      </c>
    </row>
    <row r="23" spans="1:27" s="76" customFormat="1" ht="20.100000000000001" customHeight="1">
      <c r="A23" s="4">
        <v>10488</v>
      </c>
      <c r="B23" s="4" t="s">
        <v>15</v>
      </c>
      <c r="C23" s="4">
        <v>69901</v>
      </c>
      <c r="D23" s="4">
        <v>977</v>
      </c>
      <c r="E23" s="76">
        <f t="shared" si="0"/>
        <v>71.546571136131007</v>
      </c>
      <c r="F23" s="76">
        <f t="shared" si="1"/>
        <v>42927.942681678607</v>
      </c>
      <c r="G23" s="76">
        <f t="shared" si="2"/>
        <v>4292794.2681678608</v>
      </c>
      <c r="H23" s="76">
        <v>100</v>
      </c>
      <c r="I23" s="12" t="s">
        <v>253</v>
      </c>
      <c r="J23" s="76">
        <f t="shared" si="3"/>
        <v>1300716.6632548617</v>
      </c>
      <c r="K23" s="13" t="s">
        <v>254</v>
      </c>
      <c r="L23" s="76">
        <f t="shared" si="4"/>
        <v>455.25083213920158</v>
      </c>
      <c r="M23" s="13" t="s">
        <v>255</v>
      </c>
      <c r="N23" s="76">
        <f t="shared" si="5"/>
        <v>383.32120066120774</v>
      </c>
      <c r="O23" s="13" t="s">
        <v>158</v>
      </c>
      <c r="P23" s="13" t="s">
        <v>256</v>
      </c>
      <c r="Q23" s="76">
        <f t="shared" si="6"/>
        <v>94.236922252814722</v>
      </c>
      <c r="R23" s="80" t="s">
        <v>181</v>
      </c>
      <c r="S23" s="73">
        <f t="shared" si="7"/>
        <v>54.630099856704184</v>
      </c>
      <c r="T23" s="80" t="s">
        <v>257</v>
      </c>
      <c r="U23" s="80" t="s">
        <v>156</v>
      </c>
      <c r="V23" s="73">
        <f t="shared" si="8"/>
        <v>89.229163099283511</v>
      </c>
      <c r="W23" s="13" t="s">
        <v>258</v>
      </c>
      <c r="X23" s="4">
        <f t="shared" si="9"/>
        <v>2.4583544935516888</v>
      </c>
      <c r="Y23" s="13" t="s">
        <v>259</v>
      </c>
      <c r="Z23" s="13" t="s">
        <v>260</v>
      </c>
      <c r="AA23" s="73">
        <f t="shared" si="10"/>
        <v>86.497658106448299</v>
      </c>
    </row>
    <row r="24" spans="1:27" s="76" customFormat="1" ht="20.100000000000001" customHeight="1">
      <c r="A24" s="4">
        <v>10489</v>
      </c>
      <c r="B24" s="4" t="s">
        <v>15</v>
      </c>
      <c r="C24" s="4">
        <v>64451</v>
      </c>
      <c r="D24" s="4">
        <v>968</v>
      </c>
      <c r="E24" s="76">
        <f t="shared" si="0"/>
        <v>66.581611570247929</v>
      </c>
      <c r="F24" s="76">
        <f t="shared" si="1"/>
        <v>39948.966942148756</v>
      </c>
      <c r="G24" s="76">
        <f t="shared" si="2"/>
        <v>3994896.6942148758</v>
      </c>
      <c r="H24" s="76">
        <v>100</v>
      </c>
      <c r="I24" s="12" t="s">
        <v>214</v>
      </c>
      <c r="J24" s="76">
        <f t="shared" si="3"/>
        <v>1294346.5289256198</v>
      </c>
      <c r="K24" s="13" t="s">
        <v>261</v>
      </c>
      <c r="L24" s="76">
        <f t="shared" si="4"/>
        <v>1126.0814801652891</v>
      </c>
      <c r="M24" s="13" t="s">
        <v>262</v>
      </c>
      <c r="N24" s="76">
        <f t="shared" si="5"/>
        <v>926.76505817603288</v>
      </c>
      <c r="O24" s="13" t="s">
        <v>263</v>
      </c>
      <c r="P24" s="13" t="s">
        <v>93</v>
      </c>
      <c r="Q24" s="76">
        <f t="shared" si="6"/>
        <v>195.93817754876031</v>
      </c>
      <c r="R24" s="80" t="s">
        <v>264</v>
      </c>
      <c r="S24" s="73">
        <f t="shared" si="7"/>
        <v>154.27316278264462</v>
      </c>
      <c r="T24" s="80" t="s">
        <v>265</v>
      </c>
      <c r="U24" s="80" t="s">
        <v>266</v>
      </c>
      <c r="V24" s="73">
        <f t="shared" si="8"/>
        <v>189.18168866776858</v>
      </c>
      <c r="W24" s="13" t="s">
        <v>267</v>
      </c>
      <c r="X24" s="4">
        <f t="shared" si="9"/>
        <v>17.116438498512395</v>
      </c>
      <c r="Y24" s="13" t="s">
        <v>93</v>
      </c>
      <c r="Z24" s="13" t="s">
        <v>83</v>
      </c>
      <c r="AA24" s="73">
        <f t="shared" si="10"/>
        <v>161.02965166363634</v>
      </c>
    </row>
    <row r="25" spans="1:27" s="76" customFormat="1" ht="20.100000000000001" customHeight="1">
      <c r="A25" s="4">
        <v>10490</v>
      </c>
      <c r="B25" s="4" t="s">
        <v>15</v>
      </c>
      <c r="C25" s="4">
        <v>71234</v>
      </c>
      <c r="D25" s="4">
        <v>975</v>
      </c>
      <c r="E25" s="76">
        <f t="shared" si="0"/>
        <v>73.060512820512827</v>
      </c>
      <c r="F25" s="76">
        <f t="shared" si="1"/>
        <v>43836.307692307695</v>
      </c>
      <c r="G25" s="76">
        <f t="shared" si="2"/>
        <v>4383630.7692307699</v>
      </c>
      <c r="H25" s="76">
        <v>100</v>
      </c>
      <c r="I25" s="12" t="s">
        <v>268</v>
      </c>
      <c r="J25" s="76">
        <f t="shared" si="3"/>
        <v>1429063.6307692311</v>
      </c>
      <c r="K25" s="13" t="s">
        <v>269</v>
      </c>
      <c r="L25" s="76">
        <f t="shared" si="4"/>
        <v>771.69436061538477</v>
      </c>
      <c r="M25" s="13" t="s">
        <v>270</v>
      </c>
      <c r="N25" s="76">
        <f t="shared" si="5"/>
        <v>597.29143511630787</v>
      </c>
      <c r="O25" s="13" t="s">
        <v>93</v>
      </c>
      <c r="P25" s="13" t="s">
        <v>90</v>
      </c>
      <c r="Q25" s="76">
        <f t="shared" si="6"/>
        <v>104.17873868307694</v>
      </c>
      <c r="R25" s="80" t="s">
        <v>100</v>
      </c>
      <c r="S25" s="73">
        <f t="shared" si="7"/>
        <v>125.78618078030772</v>
      </c>
      <c r="T25" s="80" t="s">
        <v>81</v>
      </c>
      <c r="U25" s="80" t="s">
        <v>90</v>
      </c>
      <c r="V25" s="73">
        <f t="shared" si="8"/>
        <v>104.17873868307694</v>
      </c>
      <c r="W25" s="13" t="s">
        <v>271</v>
      </c>
      <c r="X25" s="4">
        <f t="shared" si="9"/>
        <v>7.4082658619076929</v>
      </c>
      <c r="Y25" s="13" t="s">
        <v>272</v>
      </c>
      <c r="Z25" s="13" t="s">
        <v>256</v>
      </c>
      <c r="AA25" s="73">
        <f t="shared" si="10"/>
        <v>159.74073264738465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83843F62446140B43087719AA3FA42" ma:contentTypeVersion="3" ma:contentTypeDescription="Create a new document." ma:contentTypeScope="" ma:versionID="a2b02d47afae1ddf391ae6527f3c4a21">
  <xsd:schema xmlns:xsd="http://www.w3.org/2001/XMLSchema" xmlns:xs="http://www.w3.org/2001/XMLSchema" xmlns:p="http://schemas.microsoft.com/office/2006/metadata/properties" xmlns:ns2="f3da9a27-8783-4f30-8e1f-ac4eaf480372" targetNamespace="http://schemas.microsoft.com/office/2006/metadata/properties" ma:root="true" ma:fieldsID="53f09811bc5b7618933efac4b9b5e9ea" ns2:_="">
    <xsd:import namespace="f3da9a27-8783-4f30-8e1f-ac4eaf4803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a9a27-8783-4f30-8e1f-ac4eaf4803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9AA0AF-8795-4A7C-9783-FC73028B7995}"/>
</file>

<file path=customXml/itemProps2.xml><?xml version="1.0" encoding="utf-8"?>
<ds:datastoreItem xmlns:ds="http://schemas.openxmlformats.org/officeDocument/2006/customXml" ds:itemID="{0B6C96C8-3C01-47F3-945D-04B4404EA1BE}"/>
</file>

<file path=customXml/itemProps3.xml><?xml version="1.0" encoding="utf-8"?>
<ds:datastoreItem xmlns:ds="http://schemas.openxmlformats.org/officeDocument/2006/customXml" ds:itemID="{28031C50-E55B-4039-9D48-827D8F878F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Taylah Bennett</dc:creator>
  <cp:keywords/>
  <dc:description/>
  <cp:lastModifiedBy>Taylah Bennett</cp:lastModifiedBy>
  <cp:revision/>
  <dcterms:created xsi:type="dcterms:W3CDTF">2026-04-24T03:42:05Z</dcterms:created>
  <dcterms:modified xsi:type="dcterms:W3CDTF">2026-08-12T06:30:36Z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0x010100B683843F62446140B43087719AA3FA42</vt:lpwstr>
  </property>
</Properties>
</file>
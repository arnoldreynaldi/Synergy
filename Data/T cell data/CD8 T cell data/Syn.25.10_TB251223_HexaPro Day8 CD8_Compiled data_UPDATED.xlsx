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/Users/bennett.ta/Library/CloudStorage/OneDrive-wehi.edu.au/Groom Lab/3. Projects/1. Synergy (Syn)/Compliled data for modelling/CD8 data/"/>
    </mc:Choice>
  </mc:AlternateContent>
  <xr:revisionPtr revIDLastSave="0" documentId="13_ncr:1_{063AE8F7-8CDA-624A-BB9D-5E947FDCC5E2}" xr6:coauthVersionLast="47" xr6:coauthVersionMax="47" xr10:uidLastSave="{00000000-0000-0000-0000-000000000000}"/>
  <bookViews>
    <workbookView xWindow="0" yWindow="500" windowWidth="51200" windowHeight="26660" xr2:uid="{715B3BFF-636C-194E-90D4-36818E15DA5F}"/>
  </bookViews>
  <sheets>
    <sheet name="Start here" sheetId="2" r:id="rId1"/>
    <sheet name="Dictionary" sheetId="7" r:id="rId2"/>
    <sheet name="Processed data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8" l="1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Y8" i="8"/>
  <c r="Y7" i="8"/>
  <c r="Y6" i="8"/>
  <c r="Y5" i="8"/>
  <c r="Y4" i="8"/>
  <c r="Y3" i="8"/>
  <c r="Y2" i="8"/>
  <c r="E25" i="8"/>
  <c r="F25" i="8" s="1"/>
  <c r="G25" i="8" s="1"/>
  <c r="J25" i="8" s="1"/>
  <c r="L25" i="8" s="1"/>
  <c r="E24" i="8"/>
  <c r="F24" i="8" s="1"/>
  <c r="G24" i="8" s="1"/>
  <c r="J24" i="8" s="1"/>
  <c r="L24" i="8" s="1"/>
  <c r="E23" i="8"/>
  <c r="F23" i="8" s="1"/>
  <c r="G23" i="8" s="1"/>
  <c r="J23" i="8" s="1"/>
  <c r="L23" i="8" s="1"/>
  <c r="E22" i="8"/>
  <c r="F22" i="8" s="1"/>
  <c r="G22" i="8" s="1"/>
  <c r="J22" i="8" s="1"/>
  <c r="L22" i="8" s="1"/>
  <c r="E21" i="8"/>
  <c r="F21" i="8" s="1"/>
  <c r="G21" i="8" s="1"/>
  <c r="J21" i="8" s="1"/>
  <c r="L21" i="8" s="1"/>
  <c r="E20" i="8"/>
  <c r="F20" i="8" s="1"/>
  <c r="G20" i="8" s="1"/>
  <c r="J20" i="8" s="1"/>
  <c r="L20" i="8" s="1"/>
  <c r="E19" i="8"/>
  <c r="F19" i="8" s="1"/>
  <c r="G19" i="8" s="1"/>
  <c r="J19" i="8" s="1"/>
  <c r="L19" i="8" s="1"/>
  <c r="E18" i="8"/>
  <c r="F18" i="8" s="1"/>
  <c r="G18" i="8" s="1"/>
  <c r="J18" i="8" s="1"/>
  <c r="L18" i="8" s="1"/>
  <c r="E17" i="8"/>
  <c r="F17" i="8" s="1"/>
  <c r="G17" i="8" s="1"/>
  <c r="J17" i="8" s="1"/>
  <c r="L17" i="8" s="1"/>
  <c r="E16" i="8"/>
  <c r="F16" i="8" s="1"/>
  <c r="G16" i="8" s="1"/>
  <c r="J16" i="8" s="1"/>
  <c r="L16" i="8" s="1"/>
  <c r="E15" i="8"/>
  <c r="F15" i="8" s="1"/>
  <c r="G15" i="8" s="1"/>
  <c r="J15" i="8" s="1"/>
  <c r="L15" i="8" s="1"/>
  <c r="E14" i="8"/>
  <c r="F14" i="8" s="1"/>
  <c r="G14" i="8" s="1"/>
  <c r="J14" i="8" s="1"/>
  <c r="L14" i="8" s="1"/>
  <c r="E13" i="8"/>
  <c r="F13" i="8" s="1"/>
  <c r="G13" i="8" s="1"/>
  <c r="J13" i="8" s="1"/>
  <c r="L13" i="8" s="1"/>
  <c r="E12" i="8"/>
  <c r="F12" i="8" s="1"/>
  <c r="G12" i="8" s="1"/>
  <c r="J12" i="8" s="1"/>
  <c r="L12" i="8" s="1"/>
  <c r="E11" i="8"/>
  <c r="F11" i="8" s="1"/>
  <c r="G11" i="8" s="1"/>
  <c r="J11" i="8" s="1"/>
  <c r="L11" i="8" s="1"/>
  <c r="E10" i="8"/>
  <c r="F10" i="8" s="1"/>
  <c r="G10" i="8" s="1"/>
  <c r="J10" i="8" s="1"/>
  <c r="L10" i="8" s="1"/>
  <c r="E9" i="8"/>
  <c r="F9" i="8" s="1"/>
  <c r="G9" i="8" s="1"/>
  <c r="J9" i="8" s="1"/>
  <c r="L9" i="8" s="1"/>
  <c r="E8" i="8"/>
  <c r="F8" i="8" s="1"/>
  <c r="G8" i="8" s="1"/>
  <c r="J8" i="8" s="1"/>
  <c r="L8" i="8" s="1"/>
  <c r="E7" i="8"/>
  <c r="F7" i="8" s="1"/>
  <c r="G7" i="8" s="1"/>
  <c r="J7" i="8" s="1"/>
  <c r="L7" i="8" s="1"/>
  <c r="E6" i="8"/>
  <c r="F6" i="8" s="1"/>
  <c r="G6" i="8" s="1"/>
  <c r="J6" i="8" s="1"/>
  <c r="L6" i="8" s="1"/>
  <c r="E5" i="8"/>
  <c r="F5" i="8" s="1"/>
  <c r="G5" i="8" s="1"/>
  <c r="J5" i="8" s="1"/>
  <c r="L5" i="8" s="1"/>
  <c r="E4" i="8"/>
  <c r="F4" i="8" s="1"/>
  <c r="G4" i="8" s="1"/>
  <c r="J4" i="8" s="1"/>
  <c r="L4" i="8" s="1"/>
  <c r="E3" i="8"/>
  <c r="F3" i="8" s="1"/>
  <c r="G3" i="8" s="1"/>
  <c r="J3" i="8" s="1"/>
  <c r="L3" i="8" s="1"/>
  <c r="E2" i="8"/>
  <c r="G2" i="8" l="1"/>
  <c r="J2" i="8" s="1"/>
  <c r="L2" i="8" s="1"/>
  <c r="N2" i="8" s="1"/>
  <c r="W23" i="8"/>
  <c r="T23" i="8"/>
  <c r="Q18" i="8"/>
  <c r="N18" i="8"/>
  <c r="AD17" i="8"/>
  <c r="AD9" i="8"/>
  <c r="T14" i="8"/>
  <c r="N10" i="8"/>
  <c r="AD10" i="8"/>
  <c r="T10" i="8"/>
  <c r="W10" i="8"/>
  <c r="AA10" i="8"/>
  <c r="Q10" i="8"/>
  <c r="W11" i="8"/>
  <c r="AD11" i="8"/>
  <c r="Q11" i="8"/>
  <c r="N11" i="8"/>
  <c r="T11" i="8"/>
  <c r="AA11" i="8"/>
  <c r="AD5" i="8"/>
  <c r="AA5" i="8"/>
  <c r="Q5" i="8"/>
  <c r="W5" i="8"/>
  <c r="T5" i="8"/>
  <c r="N5" i="8"/>
  <c r="W6" i="8"/>
  <c r="AD6" i="8"/>
  <c r="Q6" i="8"/>
  <c r="T6" i="8"/>
  <c r="N6" i="8"/>
  <c r="AA6" i="8"/>
  <c r="Q7" i="8"/>
  <c r="W7" i="8"/>
  <c r="T7" i="8"/>
  <c r="AA7" i="8"/>
  <c r="AD7" i="8"/>
  <c r="N7" i="8"/>
  <c r="T8" i="8"/>
  <c r="AD8" i="8"/>
  <c r="AA8" i="8"/>
  <c r="W8" i="8"/>
  <c r="N8" i="8"/>
  <c r="Q8" i="8"/>
  <c r="N4" i="8"/>
  <c r="AA4" i="8"/>
  <c r="AD4" i="8"/>
  <c r="Q4" i="8"/>
  <c r="T4" i="8"/>
  <c r="W4" i="8"/>
  <c r="AD15" i="8"/>
  <c r="T15" i="8"/>
  <c r="AA15" i="8"/>
  <c r="Q15" i="8"/>
  <c r="W15" i="8"/>
  <c r="N15" i="8"/>
  <c r="Q16" i="8"/>
  <c r="W16" i="8"/>
  <c r="AA16" i="8"/>
  <c r="AD16" i="8"/>
  <c r="T16" i="8"/>
  <c r="N16" i="8"/>
  <c r="T12" i="8"/>
  <c r="Q12" i="8"/>
  <c r="N12" i="8"/>
  <c r="W12" i="8"/>
  <c r="AD12" i="8"/>
  <c r="AA12" i="8"/>
  <c r="Q13" i="8"/>
  <c r="AD13" i="8"/>
  <c r="T13" i="8"/>
  <c r="W13" i="8"/>
  <c r="AA13" i="8"/>
  <c r="N13" i="8"/>
  <c r="Q3" i="8"/>
  <c r="AD3" i="8"/>
  <c r="W3" i="8"/>
  <c r="T3" i="8"/>
  <c r="AA3" i="8"/>
  <c r="N3" i="8"/>
  <c r="AA19" i="8"/>
  <c r="N19" i="8"/>
  <c r="W19" i="8"/>
  <c r="Q19" i="8"/>
  <c r="T19" i="8"/>
  <c r="AD19" i="8"/>
  <c r="Q17" i="8"/>
  <c r="N17" i="8"/>
  <c r="W17" i="8"/>
  <c r="T17" i="8"/>
  <c r="AA17" i="8"/>
  <c r="Q9" i="8"/>
  <c r="T22" i="8"/>
  <c r="AA22" i="8"/>
  <c r="Q22" i="8"/>
  <c r="N22" i="8"/>
  <c r="AD22" i="8"/>
  <c r="W22" i="8"/>
  <c r="AA9" i="8"/>
  <c r="N9" i="8"/>
  <c r="W9" i="8"/>
  <c r="N14" i="8"/>
  <c r="W14" i="8"/>
  <c r="AA14" i="8"/>
  <c r="Q14" i="8"/>
  <c r="AD14" i="8"/>
  <c r="T9" i="8"/>
  <c r="W21" i="8"/>
  <c r="AD21" i="8"/>
  <c r="T21" i="8"/>
  <c r="N21" i="8"/>
  <c r="AA21" i="8"/>
  <c r="Q21" i="8"/>
  <c r="Q23" i="8"/>
  <c r="N23" i="8"/>
  <c r="AD23" i="8"/>
  <c r="AA23" i="8"/>
  <c r="AD25" i="8"/>
  <c r="T25" i="8"/>
  <c r="AA25" i="8"/>
  <c r="Q25" i="8"/>
  <c r="W25" i="8"/>
  <c r="N25" i="8"/>
  <c r="AD18" i="8"/>
  <c r="T18" i="8"/>
  <c r="AA18" i="8"/>
  <c r="Q20" i="8"/>
  <c r="N20" i="8"/>
  <c r="W20" i="8"/>
  <c r="AD20" i="8"/>
  <c r="T20" i="8"/>
  <c r="W18" i="8"/>
  <c r="AA20" i="8"/>
  <c r="N24" i="8"/>
  <c r="W24" i="8"/>
  <c r="AD24" i="8"/>
  <c r="T24" i="8"/>
  <c r="AA24" i="8"/>
  <c r="Q24" i="8"/>
  <c r="AA2" i="8" l="1"/>
  <c r="Q2" i="8"/>
  <c r="T2" i="8"/>
  <c r="W2" i="8"/>
  <c r="AD2" i="8"/>
</calcChain>
</file>

<file path=xl/sharedStrings.xml><?xml version="1.0" encoding="utf-8"?>
<sst xmlns="http://schemas.openxmlformats.org/spreadsheetml/2006/main" count="460" uniqueCount="335">
  <si>
    <t>Experiment code:</t>
  </si>
  <si>
    <t>Syn.25.10</t>
  </si>
  <si>
    <t>Experiment date:</t>
  </si>
  <si>
    <t>Time point (day):</t>
  </si>
  <si>
    <t>Replicate number:</t>
  </si>
  <si>
    <t>Analysis (CD4 or CD8):</t>
  </si>
  <si>
    <t>CD8</t>
  </si>
  <si>
    <t>Exp label</t>
  </si>
  <si>
    <t>Mouse #</t>
  </si>
  <si>
    <t>Vaccine</t>
  </si>
  <si>
    <t>Sex</t>
  </si>
  <si>
    <t>HexaPro TM</t>
  </si>
  <si>
    <t>F</t>
  </si>
  <si>
    <t>HexaPro TMd21</t>
  </si>
  <si>
    <t>HexaPro SOL</t>
  </si>
  <si>
    <t>HexaPro IC</t>
  </si>
  <si>
    <t>Counting beads: CountBright Absolute Count</t>
  </si>
  <si>
    <t>REF: C36950</t>
  </si>
  <si>
    <t>Lot: 2466366</t>
  </si>
  <si>
    <t>0.5 x 10^5 beads/50 µL</t>
  </si>
  <si>
    <t>Beads were diluted 1:50 = 1000 beads/50 µL, or 20 beads/µL</t>
  </si>
  <si>
    <t xml:space="preserve">Pre-enrichment, 5 µL of cell pellet resuspension (total 80 µL) was taken for cell counts </t>
  </si>
  <si>
    <t xml:space="preserve">After staining with antibodies, the sample was re-suspended in 150 µL of diluted beads </t>
  </si>
  <si>
    <t>Cells/µL = Number of cells/number of beads x (150 µL/5 µL * 20 beads/µL)</t>
  </si>
  <si>
    <t>Core populations</t>
  </si>
  <si>
    <t>Category</t>
  </si>
  <si>
    <t>Term / Column Component</t>
  </si>
  <si>
    <t>Definition</t>
  </si>
  <si>
    <t>Core population</t>
  </si>
  <si>
    <t>Tetramer+ CD8 T cells</t>
  </si>
  <si>
    <t>Antigen-specific CD8 T cells identified using peptide–MHC tetramers</t>
  </si>
  <si>
    <t>Population type</t>
  </si>
  <si>
    <t>Memory</t>
  </si>
  <si>
    <t>CD127+ KLRG1− cells; memory-forming potential</t>
  </si>
  <si>
    <t>Effector</t>
  </si>
  <si>
    <t>CD127− KLRG1+ cells; terminal effector phenotype</t>
  </si>
  <si>
    <t>TCM: Central memory</t>
  </si>
  <si>
    <t xml:space="preserve">Lymphoid-homing memory cells </t>
  </si>
  <si>
    <t>TEM: Effector memory</t>
  </si>
  <si>
    <t xml:space="preserve">Memory T cells that circulate in the peripheral tissues and blood, providing immediate, rapid effector function </t>
  </si>
  <si>
    <t>Tscm: Stem cell memory</t>
  </si>
  <si>
    <t>Self-renewing memory population; give rise to Tcm and Tem; long-lived reservoir</t>
  </si>
  <si>
    <t>Tfh-like</t>
  </si>
  <si>
    <t xml:space="preserve">CXCR5+ PD-1+; follicular helper-like phenotype </t>
  </si>
  <si>
    <t>Interpreting column labels</t>
  </si>
  <si>
    <t>Term</t>
  </si>
  <si>
    <t>% (percentage)</t>
  </si>
  <si>
    <t>Proportion of the specified parent population</t>
  </si>
  <si>
    <t>Number</t>
  </si>
  <si>
    <t>Absolute cell count in the subset</t>
  </si>
  <si>
    <t>Number of cell events</t>
  </si>
  <si>
    <t xml:space="preserve">Number of bead events </t>
  </si>
  <si>
    <t>Cell/bead ratio</t>
  </si>
  <si>
    <t>Cells/µL</t>
  </si>
  <si>
    <t>Cells in total sample vol</t>
  </si>
  <si>
    <t>Total sample vol (µL)</t>
  </si>
  <si>
    <t>CD8 T cells (% of live lymphocytes)</t>
  </si>
  <si>
    <t>Number of CD8 T cells</t>
  </si>
  <si>
    <t>Tetramer+ (% of CD8)</t>
  </si>
  <si>
    <t>Number of tetramer+ cells</t>
  </si>
  <si>
    <t>CD127+ KLRG1- memory (% tetramer)</t>
  </si>
  <si>
    <t>Number of CD127+ KLRG1- memory</t>
  </si>
  <si>
    <t>CD62L+ CX3CR1- TCM (% memory)</t>
  </si>
  <si>
    <t>CD127+ CD62L+ CX3CR1- KLRG1- TCM (% tetramer)</t>
  </si>
  <si>
    <t>Number CD127+ CD62L+ CX3CR1-KLRG1- TCM</t>
  </si>
  <si>
    <t>PD-1+ CXCR5+ TFH like (% memory)</t>
  </si>
  <si>
    <t>CD127+ PD-1+ CXCR5+ KLRG1- TFH like (% tetramer)</t>
  </si>
  <si>
    <t>Number of CXCR5+ PD-1+ CD127+ KLRG1- TFH like</t>
  </si>
  <si>
    <t>TCF1+ SLAMF6+ Tsl (% memory)</t>
  </si>
  <si>
    <t>CD127+ KLRG1- TCF1+ SLAMF6+ Tsl (% tetramer)</t>
  </si>
  <si>
    <t>Number of CD127+ KLRG1- TCF1+ SLAMF6+ Tsl cells</t>
  </si>
  <si>
    <t>CD127+ TCF1+ SLAMF6+ CD62L+ Tscm (% tetramer)</t>
  </si>
  <si>
    <t>Number of Tscm</t>
  </si>
  <si>
    <t>KLRG1+ CD127- effector (% tetramer)</t>
  </si>
  <si>
    <t>Number of KLRG1+ CD127- effector</t>
  </si>
  <si>
    <t>CD62L- CX3CR1hi TEM (% memory)</t>
  </si>
  <si>
    <t>CD62L- CX3CR1hi TEM (% tetramer)</t>
  </si>
  <si>
    <t>Number CD62L- CX3CR1hi TEM</t>
  </si>
  <si>
    <t>24.8 %</t>
  </si>
  <si>
    <t>0.18 %</t>
  </si>
  <si>
    <t>49.7 %</t>
  </si>
  <si>
    <t>1.80 %</t>
  </si>
  <si>
    <t>0.89 %</t>
  </si>
  <si>
    <t>13.5 %</t>
  </si>
  <si>
    <t>6.71 %</t>
  </si>
  <si>
    <t>84.7 %</t>
  </si>
  <si>
    <t>42.1 %</t>
  </si>
  <si>
    <t>0.67 %</t>
  </si>
  <si>
    <t>11.9 %</t>
  </si>
  <si>
    <t>8.11 %</t>
  </si>
  <si>
    <t>4.03 %</t>
  </si>
  <si>
    <t>24.9 %</t>
  </si>
  <si>
    <t>0.098 %</t>
  </si>
  <si>
    <t>48.9 %</t>
  </si>
  <si>
    <t>30.5 %</t>
  </si>
  <si>
    <t>14.9 %</t>
  </si>
  <si>
    <t>22.8 %</t>
  </si>
  <si>
    <t>11.2 %</t>
  </si>
  <si>
    <t>75.6 %</t>
  </si>
  <si>
    <t>37.0 %</t>
  </si>
  <si>
    <t>13.4 %</t>
  </si>
  <si>
    <t>1.99 %</t>
  </si>
  <si>
    <t>1.52 %</t>
  </si>
  <si>
    <t>0.74 %</t>
  </si>
  <si>
    <t>0.17 %</t>
  </si>
  <si>
    <t>48.6 %</t>
  </si>
  <si>
    <t>23.6 %</t>
  </si>
  <si>
    <t>11.5 %</t>
  </si>
  <si>
    <t>7.22 %</t>
  </si>
  <si>
    <t>86.8 %</t>
  </si>
  <si>
    <t>42.2 %</t>
  </si>
  <si>
    <t>10.8 %</t>
  </si>
  <si>
    <t>5.58 %</t>
  </si>
  <si>
    <t>4.05 %</t>
  </si>
  <si>
    <t>1.97 %</t>
  </si>
  <si>
    <t>TM</t>
  </si>
  <si>
    <t>0.16 %</t>
  </si>
  <si>
    <t>43.9 %</t>
  </si>
  <si>
    <t>11.7 %</t>
  </si>
  <si>
    <t>5.15 %</t>
  </si>
  <si>
    <t>9.47 %</t>
  </si>
  <si>
    <t>4.15 %</t>
  </si>
  <si>
    <t>81.8 %</t>
  </si>
  <si>
    <t>35.9 %</t>
  </si>
  <si>
    <t>4.49 %</t>
  </si>
  <si>
    <t>4.98 %</t>
  </si>
  <si>
    <t>3.41 %</t>
  </si>
  <si>
    <t>1.50 %</t>
  </si>
  <si>
    <t>23.2 %</t>
  </si>
  <si>
    <t>0.20 %</t>
  </si>
  <si>
    <t>50.2 %</t>
  </si>
  <si>
    <t>20.6 %</t>
  </si>
  <si>
    <t>10.3 %</t>
  </si>
  <si>
    <t>5.86 %</t>
  </si>
  <si>
    <t>73.6 %</t>
  </si>
  <si>
    <t>36.9 %</t>
  </si>
  <si>
    <t>8.47 %</t>
  </si>
  <si>
    <t>3.15 %</t>
  </si>
  <si>
    <t>5.41 %</t>
  </si>
  <si>
    <t>2.71 %</t>
  </si>
  <si>
    <t>25.4 %</t>
  </si>
  <si>
    <t>0.15 %</t>
  </si>
  <si>
    <t>49.2 %</t>
  </si>
  <si>
    <t>3.43 %</t>
  </si>
  <si>
    <t>1.69 %</t>
  </si>
  <si>
    <t>15.4 %</t>
  </si>
  <si>
    <t>7.58 %</t>
  </si>
  <si>
    <t>92.6 %</t>
  </si>
  <si>
    <t>45.5 %</t>
  </si>
  <si>
    <t>3.65 %</t>
  </si>
  <si>
    <t>8.57 %</t>
  </si>
  <si>
    <t>4.21 %</t>
  </si>
  <si>
    <t>TMd21</t>
  </si>
  <si>
    <t>26.8 %</t>
  </si>
  <si>
    <t>0.047 %</t>
  </si>
  <si>
    <t>53.8 %</t>
  </si>
  <si>
    <t>13.0 %</t>
  </si>
  <si>
    <t>6.99 %</t>
  </si>
  <si>
    <t>27.0 %</t>
  </si>
  <si>
    <t>14.5 %</t>
  </si>
  <si>
    <t>82.0 %</t>
  </si>
  <si>
    <t>44.1 %</t>
  </si>
  <si>
    <t>6.45 %</t>
  </si>
  <si>
    <t>3.23 %</t>
  </si>
  <si>
    <t>5.00 %</t>
  </si>
  <si>
    <t>2.69 %</t>
  </si>
  <si>
    <t>26.3 %</t>
  </si>
  <si>
    <t>0.074 %</t>
  </si>
  <si>
    <t>50.0 %</t>
  </si>
  <si>
    <t>4.55 %</t>
  </si>
  <si>
    <t>2.27 %</t>
  </si>
  <si>
    <t>18.2 %</t>
  </si>
  <si>
    <t>9.09 %</t>
  </si>
  <si>
    <t>85.2 %</t>
  </si>
  <si>
    <t>42.6 %</t>
  </si>
  <si>
    <t>1.70 %</t>
  </si>
  <si>
    <t>2.84 %</t>
  </si>
  <si>
    <t>1.14 %</t>
  </si>
  <si>
    <t>0.57 %</t>
  </si>
  <si>
    <t>22.6 %</t>
  </si>
  <si>
    <t>0.085 %</t>
  </si>
  <si>
    <t>53.6 %</t>
  </si>
  <si>
    <t>27.1 %</t>
  </si>
  <si>
    <t>14.6 %</t>
  </si>
  <si>
    <t>6.94 %</t>
  </si>
  <si>
    <t>3.72 %</t>
  </si>
  <si>
    <t>76.7 %</t>
  </si>
  <si>
    <t>41.1 %</t>
  </si>
  <si>
    <t>6.31 %</t>
  </si>
  <si>
    <t>3.38 %</t>
  </si>
  <si>
    <t>25.9 %</t>
  </si>
  <si>
    <t>63.5 %</t>
  </si>
  <si>
    <t>2.97 %</t>
  </si>
  <si>
    <t>1.89 %</t>
  </si>
  <si>
    <t>5.94 %</t>
  </si>
  <si>
    <t>3.77 %</t>
  </si>
  <si>
    <t>87.1 %</t>
  </si>
  <si>
    <t>55.3 %</t>
  </si>
  <si>
    <t>1.26 %</t>
  </si>
  <si>
    <t>4.95 %</t>
  </si>
  <si>
    <t>3.14 %</t>
  </si>
  <si>
    <t>23.8 %</t>
  </si>
  <si>
    <t>0.14 %</t>
  </si>
  <si>
    <t>47.1 %</t>
  </si>
  <si>
    <t>13.2 %</t>
  </si>
  <si>
    <t>6.21 %</t>
  </si>
  <si>
    <t>5.10 %</t>
  </si>
  <si>
    <t>88.5 %</t>
  </si>
  <si>
    <t>41.7 %</t>
  </si>
  <si>
    <t>6.05 %</t>
  </si>
  <si>
    <t>4.30 %</t>
  </si>
  <si>
    <t>3.04 %</t>
  </si>
  <si>
    <t>1.43 %</t>
  </si>
  <si>
    <t>24.3 %</t>
  </si>
  <si>
    <t>0.053 %</t>
  </si>
  <si>
    <t>65.2 %</t>
  </si>
  <si>
    <t>15.8 %</t>
  </si>
  <si>
    <t>6.67 %</t>
  </si>
  <si>
    <t>4.35 %</t>
  </si>
  <si>
    <t>90.8 %</t>
  </si>
  <si>
    <t>59.2 %</t>
  </si>
  <si>
    <t>2.17 %</t>
  </si>
  <si>
    <t>1.67 %</t>
  </si>
  <si>
    <t>1.09 %</t>
  </si>
  <si>
    <t>SOL</t>
  </si>
  <si>
    <t>24.0 %</t>
  </si>
  <si>
    <t>0.100 %</t>
  </si>
  <si>
    <t>57.3 %</t>
  </si>
  <si>
    <t>27.4 %</t>
  </si>
  <si>
    <t>15.7 %</t>
  </si>
  <si>
    <t>15.1 %</t>
  </si>
  <si>
    <t>8.67 %</t>
  </si>
  <si>
    <t>92.9 %</t>
  </si>
  <si>
    <t>53.2 %</t>
  </si>
  <si>
    <t>7.53 %</t>
  </si>
  <si>
    <t>0.82 %</t>
  </si>
  <si>
    <t>0.11 %</t>
  </si>
  <si>
    <t>53.5 %</t>
  </si>
  <si>
    <t>28.2 %</t>
  </si>
  <si>
    <t>19.3 %</t>
  </si>
  <si>
    <t>86.3 %</t>
  </si>
  <si>
    <t>46.2 %</t>
  </si>
  <si>
    <t>14.0 %</t>
  </si>
  <si>
    <t>0.95 %</t>
  </si>
  <si>
    <t>2.03 %</t>
  </si>
  <si>
    <t>24.6 %</t>
  </si>
  <si>
    <t>65.1 %</t>
  </si>
  <si>
    <t>20.4 %</t>
  </si>
  <si>
    <t>13.3 %</t>
  </si>
  <si>
    <t>15.5 %</t>
  </si>
  <si>
    <t>89.4 %</t>
  </si>
  <si>
    <t>58.2 %</t>
  </si>
  <si>
    <t>2.74 %</t>
  </si>
  <si>
    <t>2.52 %</t>
  </si>
  <si>
    <t>1.64 %</t>
  </si>
  <si>
    <t>22.9 %</t>
  </si>
  <si>
    <t>57.7 %</t>
  </si>
  <si>
    <t>22.4 %</t>
  </si>
  <si>
    <t>12.9 %</t>
  </si>
  <si>
    <t>20.8 %</t>
  </si>
  <si>
    <t>12.0 %</t>
  </si>
  <si>
    <t>86.9 %</t>
  </si>
  <si>
    <t>12.6 %</t>
  </si>
  <si>
    <t>3.79 %</t>
  </si>
  <si>
    <t>68.5 %</t>
  </si>
  <si>
    <t>91.8 %</t>
  </si>
  <si>
    <t>62.9 %</t>
  </si>
  <si>
    <t>14.7 %</t>
  </si>
  <si>
    <t>0.70 %</t>
  </si>
  <si>
    <t>0 %</t>
  </si>
  <si>
    <t>0.076 %</t>
  </si>
  <si>
    <t>70.6 %</t>
  </si>
  <si>
    <t>17.6 %</t>
  </si>
  <si>
    <t>27.6 %</t>
  </si>
  <si>
    <t>19.5 %</t>
  </si>
  <si>
    <t>89.7 %</t>
  </si>
  <si>
    <t>63.4 %</t>
  </si>
  <si>
    <t>17.2 %</t>
  </si>
  <si>
    <t>0.38 %</t>
  </si>
  <si>
    <t>0.54 %</t>
  </si>
  <si>
    <t>IC</t>
  </si>
  <si>
    <t>30.1 %</t>
  </si>
  <si>
    <t>55.6 %</t>
  </si>
  <si>
    <t>8.14 %</t>
  </si>
  <si>
    <t>79.9 %</t>
  </si>
  <si>
    <t>44.4 %</t>
  </si>
  <si>
    <t>1.16 %</t>
  </si>
  <si>
    <t>3.26 %</t>
  </si>
  <si>
    <t>28.3 %</t>
  </si>
  <si>
    <t>53.7 %</t>
  </si>
  <si>
    <t>8.17 %</t>
  </si>
  <si>
    <t>4.39 %</t>
  </si>
  <si>
    <t>8.99 %</t>
  </si>
  <si>
    <t>4.83 %</t>
  </si>
  <si>
    <t>73.8 %</t>
  </si>
  <si>
    <t>39.7 %</t>
  </si>
  <si>
    <t>3.51 %</t>
  </si>
  <si>
    <t>0.73 %</t>
  </si>
  <si>
    <t>5.45 %</t>
  </si>
  <si>
    <t>2.93 %</t>
  </si>
  <si>
    <t>53.9 %</t>
  </si>
  <si>
    <t>7.92 %</t>
  </si>
  <si>
    <t>4.27 %</t>
  </si>
  <si>
    <t>7.11 %</t>
  </si>
  <si>
    <t>71.3 %</t>
  </si>
  <si>
    <t>38.4 %</t>
  </si>
  <si>
    <t>3.05 %</t>
  </si>
  <si>
    <t>5.66 %</t>
  </si>
  <si>
    <t>27.2 %</t>
  </si>
  <si>
    <t>0.13 %</t>
  </si>
  <si>
    <t>51.8 %</t>
  </si>
  <si>
    <t>7.36 %</t>
  </si>
  <si>
    <t>3.81 %</t>
  </si>
  <si>
    <t>9.96 %</t>
  </si>
  <si>
    <t>5.16 %</t>
  </si>
  <si>
    <t>76.2 %</t>
  </si>
  <si>
    <t>39.5 %</t>
  </si>
  <si>
    <t>3.59 %</t>
  </si>
  <si>
    <t>3.36 %</t>
  </si>
  <si>
    <t>4.33 %</t>
  </si>
  <si>
    <t>2.24 %</t>
  </si>
  <si>
    <t>27.3 %</t>
  </si>
  <si>
    <t>52.7 %</t>
  </si>
  <si>
    <t>2.67 %</t>
  </si>
  <si>
    <t>1.41 %</t>
  </si>
  <si>
    <t>4.79 %</t>
  </si>
  <si>
    <t>43.1 %</t>
  </si>
  <si>
    <t>1.13 %</t>
  </si>
  <si>
    <t>0.85 %</t>
  </si>
  <si>
    <t>3.21 %</t>
  </si>
  <si>
    <t>40.6 %</t>
  </si>
  <si>
    <t>8.00 %</t>
  </si>
  <si>
    <t>3.25 %</t>
  </si>
  <si>
    <t>68.0 %</t>
  </si>
  <si>
    <t>1.08 %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</si>
</sst>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sz val="12"/>
      <color theme="3" tint="0.499984740745262"/>
      <name val="Helvetica"/>
      <family val="2"/>
    </font>
    <font>
      <sz val="12"/>
      <color theme="5" tint="0.39997558519241921"/>
      <name val="Helvetica"/>
      <family val="2"/>
    </font>
    <font>
      <sz val="12"/>
      <color theme="8" tint="0.39997558519241921"/>
      <name val="Helvetica"/>
      <family val="2"/>
    </font>
    <font>
      <sz val="12"/>
      <color theme="6" tint="0.39997558519241921"/>
      <name val="Helvetica"/>
      <family val="2"/>
    </font>
    <font>
      <b/>
      <i/>
      <sz val="12"/>
      <color theme="1"/>
      <name val="Helvetica"/>
      <family val="2"/>
    </font>
    <font>
      <b/>
      <i/>
      <sz val="12"/>
      <color theme="3" tint="0.499984740745262"/>
      <name val="Helvetica"/>
      <family val="2"/>
    </font>
    <font>
      <b/>
      <i/>
      <sz val="12"/>
      <color theme="5" tint="0.39997558519241921"/>
      <name val="Helvetica"/>
      <family val="2"/>
    </font>
    <font>
      <b/>
      <i/>
      <sz val="12"/>
      <color theme="6" tint="0.39997558519241921"/>
      <name val="Helvetica"/>
      <family val="2"/>
    </font>
    <font>
      <b/>
      <i/>
      <sz val="12"/>
      <color theme="8" tint="0.39997558519241921"/>
      <name val="Helvetica"/>
      <family val="2"/>
    </font>
    <font>
      <b/>
      <sz val="14"/>
      <color theme="1"/>
      <name val="Helvetica"/>
      <family val="2"/>
    </font>
    <font>
      <sz val="14"/>
      <color theme="1"/>
      <name val="Aptos Narrow"/>
      <family val="2"/>
      <scheme val="minor"/>
    </font>
    <font>
      <sz val="14"/>
      <color theme="3" tint="0.499984740745262"/>
      <name val="Aptos Narrow"/>
      <family val="2"/>
      <scheme val="minor"/>
    </font>
    <font>
      <sz val="14"/>
      <color theme="3" tint="0.499984740745262"/>
      <name val="Helvetica"/>
      <family val="2"/>
    </font>
    <font>
      <sz val="14"/>
      <color theme="5" tint="0.39997558519241921"/>
      <name val="Aptos Narrow"/>
      <family val="2"/>
      <scheme val="minor"/>
    </font>
    <font>
      <sz val="14"/>
      <color theme="5" tint="0.39997558519241921"/>
      <name val="Helvetica"/>
      <family val="2"/>
    </font>
    <font>
      <sz val="14"/>
      <color theme="6" tint="0.39997558519241921"/>
      <name val="Aptos Narrow"/>
      <family val="2"/>
      <scheme val="minor"/>
    </font>
    <font>
      <sz val="14"/>
      <color theme="6" tint="0.39997558519241921"/>
      <name val="Helvetica"/>
      <family val="2"/>
    </font>
    <font>
      <sz val="14"/>
      <color theme="8" tint="0.39997558519241921"/>
      <name val="Aptos Narrow"/>
      <family val="2"/>
      <scheme val="minor"/>
    </font>
    <font>
      <sz val="14"/>
      <color theme="8" tint="0.39997558519241921"/>
      <name val="Helvetica"/>
      <family val="2"/>
    </font>
    <font>
      <sz val="14"/>
      <color theme="1"/>
      <name val="Helvetica"/>
      <family val="2"/>
    </font>
    <font>
      <sz val="10"/>
      <color theme="3" tint="0.499984740745262"/>
      <name val="Helvetica"/>
      <family val="2"/>
    </font>
    <font>
      <sz val="10"/>
      <color theme="5" tint="0.39997558519241921"/>
      <name val="Helvetica"/>
      <family val="2"/>
    </font>
    <font>
      <sz val="10"/>
      <color theme="6" tint="0.39997558519241921"/>
      <name val="Helvetica"/>
      <family val="2"/>
    </font>
    <font>
      <sz val="10"/>
      <color theme="8" tint="0.39997558519241921"/>
      <name val="Helvetica"/>
      <family val="2"/>
    </font>
    <font>
      <sz val="16"/>
      <color theme="1"/>
      <name val="Helvetica"/>
      <family val="2"/>
    </font>
    <font>
      <sz val="12"/>
      <color theme="3" tint="0.499984740745262"/>
      <name val="Aptos Narrow"/>
      <family val="2"/>
      <scheme val="minor"/>
    </font>
    <font>
      <sz val="12"/>
      <color theme="5" tint="0.39997558519241921"/>
      <name val="Aptos Narrow"/>
      <family val="2"/>
      <scheme val="minor"/>
    </font>
    <font>
      <sz val="12"/>
      <color theme="6" tint="0.39997558519241921"/>
      <name val="Aptos Narrow"/>
      <family val="2"/>
      <scheme val="minor"/>
    </font>
    <font>
      <sz val="12"/>
      <color theme="8" tint="0.3999755851924192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/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0" xfId="0" applyFont="1"/>
    <xf numFmtId="0" fontId="14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9" xfId="0" applyFont="1" applyBorder="1" applyAlignment="1">
      <alignment horizontal="center" wrapText="1"/>
    </xf>
    <xf numFmtId="0" fontId="14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 wrapText="1"/>
    </xf>
    <xf numFmtId="0" fontId="16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2" fillId="0" borderId="16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19" xfId="0" applyFont="1" applyBorder="1"/>
    <xf numFmtId="0" fontId="22" fillId="0" borderId="0" xfId="0" applyFont="1"/>
    <xf numFmtId="0" fontId="22" fillId="0" borderId="20" xfId="0" applyFont="1" applyBorder="1"/>
    <xf numFmtId="0" fontId="22" fillId="0" borderId="21" xfId="0" applyFont="1" applyBorder="1"/>
    <xf numFmtId="0" fontId="22" fillId="0" borderId="22" xfId="0" applyFont="1" applyBorder="1"/>
    <xf numFmtId="0" fontId="22" fillId="0" borderId="23" xfId="0" applyFont="1" applyBorder="1"/>
    <xf numFmtId="0" fontId="23" fillId="0" borderId="0" xfId="0" applyFont="1"/>
    <xf numFmtId="0" fontId="3" fillId="0" borderId="0" xfId="0" applyFont="1"/>
    <xf numFmtId="0" fontId="24" fillId="0" borderId="0" xfId="0" applyFont="1"/>
    <xf numFmtId="0" fontId="4" fillId="0" borderId="0" xfId="0" applyFont="1"/>
    <xf numFmtId="0" fontId="25" fillId="0" borderId="0" xfId="0" applyFont="1"/>
    <xf numFmtId="0" fontId="6" fillId="0" borderId="0" xfId="0" applyFont="1"/>
    <xf numFmtId="0" fontId="26" fillId="0" borderId="0" xfId="0" applyFont="1"/>
    <xf numFmtId="0" fontId="5" fillId="0" borderId="0" xfId="0" applyFont="1"/>
    <xf numFmtId="0" fontId="1" fillId="0" borderId="0" xfId="0" applyFont="1"/>
    <xf numFmtId="0" fontId="27" fillId="0" borderId="0" xfId="0" applyFont="1"/>
    <xf numFmtId="0" fontId="22" fillId="0" borderId="5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18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14" fontId="22" fillId="0" borderId="9" xfId="0" applyNumberFormat="1" applyFont="1" applyBorder="1" applyAlignment="1">
      <alignment horizontal="center"/>
    </xf>
    <xf numFmtId="0" fontId="2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E7A3-42D3-2E40-8A34-BBE75F4EDA45}">
  <dimension ref="B1:G42"/>
  <sheetViews>
    <sheetView tabSelected="1" workbookViewId="0">
      <selection activeCell="G23" sqref="G23"/>
    </sheetView>
  </sheetViews>
  <sheetFormatPr defaultColWidth="10.875" defaultRowHeight="18.95"/>
  <cols>
    <col min="1" max="1" width="10.875" style="18"/>
    <col min="2" max="2" width="26.125" style="18" customWidth="1"/>
    <col min="3" max="3" width="15.875" style="18" customWidth="1"/>
    <col min="4" max="4" width="21.375" style="18" customWidth="1"/>
    <col min="5" max="6" width="10.875" style="18"/>
    <col min="7" max="7" width="18.625" style="18" customWidth="1"/>
    <col min="8" max="16384" width="10.875" style="18"/>
  </cols>
  <sheetData>
    <row r="1" spans="2:5" ht="20.100000000000001" thickBot="1"/>
    <row r="2" spans="2:5">
      <c r="B2" s="74" t="s">
        <v>0</v>
      </c>
      <c r="C2" s="97" t="s">
        <v>1</v>
      </c>
    </row>
    <row r="3" spans="2:5">
      <c r="B3" s="75" t="s">
        <v>2</v>
      </c>
      <c r="C3" s="96">
        <v>46014</v>
      </c>
    </row>
    <row r="4" spans="2:5">
      <c r="B4" s="75" t="s">
        <v>3</v>
      </c>
      <c r="C4" s="76">
        <v>8</v>
      </c>
    </row>
    <row r="5" spans="2:5">
      <c r="B5" s="75" t="s">
        <v>4</v>
      </c>
      <c r="C5" s="76">
        <v>1</v>
      </c>
    </row>
    <row r="6" spans="2:5" ht="20.100000000000001" thickBot="1">
      <c r="B6" s="77" t="s">
        <v>5</v>
      </c>
      <c r="C6" s="78" t="s">
        <v>6</v>
      </c>
    </row>
    <row r="7" spans="2:5" ht="20.100000000000001" thickBot="1"/>
    <row r="8" spans="2:5" ht="20.100000000000001" thickBot="1">
      <c r="B8" s="15" t="s">
        <v>7</v>
      </c>
      <c r="C8" s="16" t="s">
        <v>8</v>
      </c>
      <c r="D8" s="17" t="s">
        <v>9</v>
      </c>
      <c r="E8" s="83" t="s">
        <v>10</v>
      </c>
    </row>
    <row r="9" spans="2:5" ht="20.100000000000001">
      <c r="B9" s="19">
        <v>61</v>
      </c>
      <c r="C9" s="20">
        <v>10061</v>
      </c>
      <c r="D9" s="21" t="s">
        <v>11</v>
      </c>
      <c r="E9" s="84" t="s">
        <v>12</v>
      </c>
    </row>
    <row r="10" spans="2:5" ht="20.100000000000001">
      <c r="B10" s="22">
        <v>62</v>
      </c>
      <c r="C10" s="23">
        <v>10062</v>
      </c>
      <c r="D10" s="24" t="s">
        <v>11</v>
      </c>
      <c r="E10" s="85" t="s">
        <v>12</v>
      </c>
    </row>
    <row r="11" spans="2:5" ht="20.100000000000001">
      <c r="B11" s="22">
        <v>63</v>
      </c>
      <c r="C11" s="23">
        <v>10063</v>
      </c>
      <c r="D11" s="24" t="s">
        <v>11</v>
      </c>
      <c r="E11" s="85" t="s">
        <v>12</v>
      </c>
    </row>
    <row r="12" spans="2:5" ht="20.100000000000001">
      <c r="B12" s="22">
        <v>64</v>
      </c>
      <c r="C12" s="23">
        <v>10064</v>
      </c>
      <c r="D12" s="24" t="s">
        <v>11</v>
      </c>
      <c r="E12" s="85" t="s">
        <v>12</v>
      </c>
    </row>
    <row r="13" spans="2:5" ht="20.100000000000001">
      <c r="B13" s="22">
        <v>65</v>
      </c>
      <c r="C13" s="23">
        <v>10065</v>
      </c>
      <c r="D13" s="24" t="s">
        <v>11</v>
      </c>
      <c r="E13" s="85" t="s">
        <v>12</v>
      </c>
    </row>
    <row r="14" spans="2:5" ht="21" thickBot="1">
      <c r="B14" s="25">
        <v>66</v>
      </c>
      <c r="C14" s="26">
        <v>10066</v>
      </c>
      <c r="D14" s="27" t="s">
        <v>11</v>
      </c>
      <c r="E14" s="86" t="s">
        <v>12</v>
      </c>
    </row>
    <row r="15" spans="2:5">
      <c r="B15" s="28">
        <v>67</v>
      </c>
      <c r="C15" s="29">
        <v>10067</v>
      </c>
      <c r="D15" s="30" t="s">
        <v>13</v>
      </c>
      <c r="E15" s="87" t="s">
        <v>12</v>
      </c>
    </row>
    <row r="16" spans="2:5">
      <c r="B16" s="31">
        <v>68</v>
      </c>
      <c r="C16" s="32">
        <v>10068</v>
      </c>
      <c r="D16" s="33" t="s">
        <v>13</v>
      </c>
      <c r="E16" s="88" t="s">
        <v>12</v>
      </c>
    </row>
    <row r="17" spans="2:5">
      <c r="B17" s="31">
        <v>69</v>
      </c>
      <c r="C17" s="32">
        <v>10069</v>
      </c>
      <c r="D17" s="33" t="s">
        <v>13</v>
      </c>
      <c r="E17" s="88" t="s">
        <v>12</v>
      </c>
    </row>
    <row r="18" spans="2:5">
      <c r="B18" s="31">
        <v>70</v>
      </c>
      <c r="C18" s="32">
        <v>10070</v>
      </c>
      <c r="D18" s="33" t="s">
        <v>13</v>
      </c>
      <c r="E18" s="88" t="s">
        <v>12</v>
      </c>
    </row>
    <row r="19" spans="2:5">
      <c r="B19" s="31">
        <v>71</v>
      </c>
      <c r="C19" s="32">
        <v>10071</v>
      </c>
      <c r="D19" s="33" t="s">
        <v>13</v>
      </c>
      <c r="E19" s="88" t="s">
        <v>12</v>
      </c>
    </row>
    <row r="20" spans="2:5" ht="20.100000000000001" thickBot="1">
      <c r="B20" s="34">
        <v>72</v>
      </c>
      <c r="C20" s="35">
        <v>10072</v>
      </c>
      <c r="D20" s="36" t="s">
        <v>13</v>
      </c>
      <c r="E20" s="89" t="s">
        <v>12</v>
      </c>
    </row>
    <row r="21" spans="2:5">
      <c r="B21" s="37">
        <v>73</v>
      </c>
      <c r="C21" s="38">
        <v>10073</v>
      </c>
      <c r="D21" s="39" t="s">
        <v>14</v>
      </c>
      <c r="E21" s="90" t="s">
        <v>12</v>
      </c>
    </row>
    <row r="22" spans="2:5">
      <c r="B22" s="40">
        <v>74</v>
      </c>
      <c r="C22" s="41">
        <v>10074</v>
      </c>
      <c r="D22" s="42" t="s">
        <v>14</v>
      </c>
      <c r="E22" s="91" t="s">
        <v>12</v>
      </c>
    </row>
    <row r="23" spans="2:5">
      <c r="B23" s="40">
        <v>75</v>
      </c>
      <c r="C23" s="41">
        <v>10075</v>
      </c>
      <c r="D23" s="42" t="s">
        <v>14</v>
      </c>
      <c r="E23" s="91" t="s">
        <v>12</v>
      </c>
    </row>
    <row r="24" spans="2:5">
      <c r="B24" s="40">
        <v>76</v>
      </c>
      <c r="C24" s="41">
        <v>10076</v>
      </c>
      <c r="D24" s="42" t="s">
        <v>14</v>
      </c>
      <c r="E24" s="91" t="s">
        <v>12</v>
      </c>
    </row>
    <row r="25" spans="2:5">
      <c r="B25" s="40">
        <v>77</v>
      </c>
      <c r="C25" s="41">
        <v>10077</v>
      </c>
      <c r="D25" s="42" t="s">
        <v>14</v>
      </c>
      <c r="E25" s="91" t="s">
        <v>12</v>
      </c>
    </row>
    <row r="26" spans="2:5" ht="20.100000000000001" thickBot="1">
      <c r="B26" s="43">
        <v>78</v>
      </c>
      <c r="C26" s="44">
        <v>10078</v>
      </c>
      <c r="D26" s="45" t="s">
        <v>14</v>
      </c>
      <c r="E26" s="92" t="s">
        <v>12</v>
      </c>
    </row>
    <row r="27" spans="2:5">
      <c r="B27" s="46">
        <v>79</v>
      </c>
      <c r="C27" s="47">
        <v>10079</v>
      </c>
      <c r="D27" s="48" t="s">
        <v>15</v>
      </c>
      <c r="E27" s="93" t="s">
        <v>12</v>
      </c>
    </row>
    <row r="28" spans="2:5">
      <c r="B28" s="49">
        <v>80</v>
      </c>
      <c r="C28" s="50">
        <v>10080</v>
      </c>
      <c r="D28" s="51" t="s">
        <v>15</v>
      </c>
      <c r="E28" s="94" t="s">
        <v>12</v>
      </c>
    </row>
    <row r="29" spans="2:5">
      <c r="B29" s="49">
        <v>81</v>
      </c>
      <c r="C29" s="50">
        <v>10081</v>
      </c>
      <c r="D29" s="51" t="s">
        <v>15</v>
      </c>
      <c r="E29" s="94" t="s">
        <v>12</v>
      </c>
    </row>
    <row r="30" spans="2:5">
      <c r="B30" s="49">
        <v>82</v>
      </c>
      <c r="C30" s="50">
        <v>10082</v>
      </c>
      <c r="D30" s="51" t="s">
        <v>15</v>
      </c>
      <c r="E30" s="94" t="s">
        <v>12</v>
      </c>
    </row>
    <row r="31" spans="2:5">
      <c r="B31" s="49">
        <v>83</v>
      </c>
      <c r="C31" s="50">
        <v>10083</v>
      </c>
      <c r="D31" s="51" t="s">
        <v>15</v>
      </c>
      <c r="E31" s="94" t="s">
        <v>12</v>
      </c>
    </row>
    <row r="32" spans="2:5" ht="20.100000000000001" thickBot="1">
      <c r="B32" s="52">
        <v>84</v>
      </c>
      <c r="C32" s="53">
        <v>10084</v>
      </c>
      <c r="D32" s="54" t="s">
        <v>15</v>
      </c>
      <c r="E32" s="95" t="s">
        <v>12</v>
      </c>
    </row>
    <row r="33" spans="2:7" ht="20.100000000000001" thickBot="1"/>
    <row r="34" spans="2:7">
      <c r="B34" s="55" t="s">
        <v>16</v>
      </c>
      <c r="C34" s="56"/>
      <c r="D34" s="57"/>
    </row>
    <row r="35" spans="2:7">
      <c r="B35" s="58" t="s">
        <v>17</v>
      </c>
      <c r="C35" s="59"/>
      <c r="D35" s="60"/>
    </row>
    <row r="36" spans="2:7">
      <c r="B36" s="58" t="s">
        <v>18</v>
      </c>
      <c r="C36" s="59"/>
      <c r="D36" s="60"/>
    </row>
    <row r="37" spans="2:7" ht="20.100000000000001" thickBot="1">
      <c r="B37" s="61" t="s">
        <v>19</v>
      </c>
      <c r="C37" s="62"/>
      <c r="D37" s="63"/>
    </row>
    <row r="38" spans="2:7" ht="20.100000000000001" thickBot="1"/>
    <row r="39" spans="2:7">
      <c r="B39" s="55" t="s">
        <v>20</v>
      </c>
      <c r="C39" s="56"/>
      <c r="D39" s="56"/>
      <c r="E39" s="56"/>
      <c r="F39" s="56"/>
      <c r="G39" s="57"/>
    </row>
    <row r="40" spans="2:7">
      <c r="B40" s="58" t="s">
        <v>21</v>
      </c>
      <c r="C40" s="59"/>
      <c r="D40" s="59"/>
      <c r="E40" s="59"/>
      <c r="F40" s="59"/>
      <c r="G40" s="60"/>
    </row>
    <row r="41" spans="2:7">
      <c r="B41" s="58" t="s">
        <v>22</v>
      </c>
      <c r="C41" s="59"/>
      <c r="D41" s="59"/>
      <c r="E41" s="59"/>
      <c r="F41" s="59"/>
      <c r="G41" s="60"/>
    </row>
    <row r="42" spans="2:7" ht="20.100000000000001" thickBot="1">
      <c r="B42" s="61" t="s">
        <v>23</v>
      </c>
      <c r="C42" s="62"/>
      <c r="D42" s="62"/>
      <c r="E42" s="62"/>
      <c r="F42" s="62"/>
      <c r="G42" s="63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33D9-E333-0348-ABB4-16AB6E23F936}">
  <dimension ref="B1:D14"/>
  <sheetViews>
    <sheetView workbookViewId="0">
      <selection activeCell="D28" sqref="D28"/>
    </sheetView>
  </sheetViews>
  <sheetFormatPr defaultColWidth="10.875" defaultRowHeight="15.95"/>
  <cols>
    <col min="1" max="1" width="10.875" style="14"/>
    <col min="2" max="2" width="29" style="14" customWidth="1"/>
    <col min="3" max="3" width="34.375" style="14" customWidth="1"/>
    <col min="4" max="4" width="99.625" style="14" customWidth="1"/>
    <col min="5" max="16384" width="10.875" style="14"/>
  </cols>
  <sheetData>
    <row r="1" spans="2:4" ht="21">
      <c r="B1" s="73" t="s">
        <v>24</v>
      </c>
    </row>
    <row r="2" spans="2:4">
      <c r="B2" s="72" t="s">
        <v>25</v>
      </c>
      <c r="C2" s="72" t="s">
        <v>26</v>
      </c>
      <c r="D2" s="72" t="s">
        <v>27</v>
      </c>
    </row>
    <row r="3" spans="2:4">
      <c r="B3" s="14" t="s">
        <v>28</v>
      </c>
      <c r="C3" s="14" t="s">
        <v>29</v>
      </c>
      <c r="D3" s="14" t="s">
        <v>30</v>
      </c>
    </row>
    <row r="4" spans="2:4">
      <c r="B4" s="14" t="s">
        <v>31</v>
      </c>
      <c r="C4" s="14" t="s">
        <v>32</v>
      </c>
      <c r="D4" s="14" t="s">
        <v>33</v>
      </c>
    </row>
    <row r="5" spans="2:4">
      <c r="C5" s="14" t="s">
        <v>34</v>
      </c>
      <c r="D5" s="14" t="s">
        <v>35</v>
      </c>
    </row>
    <row r="6" spans="2:4">
      <c r="C6" s="14" t="s">
        <v>36</v>
      </c>
      <c r="D6" s="14" t="s">
        <v>37</v>
      </c>
    </row>
    <row r="7" spans="2:4">
      <c r="C7" s="14" t="s">
        <v>38</v>
      </c>
      <c r="D7" s="14" t="s">
        <v>39</v>
      </c>
    </row>
    <row r="8" spans="2:4">
      <c r="C8" s="14" t="s">
        <v>40</v>
      </c>
      <c r="D8" s="14" t="s">
        <v>41</v>
      </c>
    </row>
    <row r="9" spans="2:4">
      <c r="C9" s="14" t="s">
        <v>42</v>
      </c>
      <c r="D9" s="14" t="s">
        <v>43</v>
      </c>
    </row>
    <row r="11" spans="2:4" ht="21">
      <c r="B11" s="73" t="s">
        <v>44</v>
      </c>
    </row>
    <row r="12" spans="2:4">
      <c r="B12" s="72" t="s">
        <v>45</v>
      </c>
      <c r="C12" s="72" t="s">
        <v>27</v>
      </c>
    </row>
    <row r="13" spans="2:4">
      <c r="B13" s="14" t="s">
        <v>46</v>
      </c>
      <c r="C13" s="14" t="s">
        <v>47</v>
      </c>
    </row>
    <row r="14" spans="2:4">
      <c r="B14" s="14" t="s">
        <v>48</v>
      </c>
      <c r="C14" s="14" t="s">
        <v>49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ACB8-F5DC-F844-9D31-CC94C069AF34}">
  <sheetPr>
    <pageSetUpPr fitToPage="1"/>
  </sheetPr>
  <dimension ref="A1:AD51"/>
  <sheetViews>
    <sheetView workbookViewId="0">
      <selection activeCell="H12" sqref="H12"/>
    </sheetView>
  </sheetViews>
  <sheetFormatPr defaultColWidth="10.875" defaultRowHeight="15.95"/>
  <cols>
    <col min="1" max="8" width="10.875" style="2"/>
    <col min="9" max="9" width="14.375" style="2" customWidth="1"/>
    <col min="10" max="12" width="10.875" style="2"/>
    <col min="13" max="13" width="12.125" style="2" customWidth="1"/>
    <col min="14" max="15" width="10.875" style="2"/>
    <col min="16" max="16" width="13.5" style="2" customWidth="1"/>
    <col min="17" max="23" width="10.875" style="2"/>
    <col min="24" max="25" width="11" customWidth="1"/>
    <col min="26" max="16384" width="10.875" style="2"/>
  </cols>
  <sheetData>
    <row r="1" spans="1:30" s="1" customFormat="1" ht="119.1">
      <c r="A1" s="1" t="s">
        <v>7</v>
      </c>
      <c r="B1" s="1" t="s">
        <v>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9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</row>
    <row r="2" spans="1:30" ht="20.100000000000001" customHeight="1">
      <c r="A2" s="4">
        <v>61</v>
      </c>
      <c r="B2" s="5" t="s">
        <v>11</v>
      </c>
      <c r="C2" s="4">
        <v>91781</v>
      </c>
      <c r="D2" s="4">
        <v>1143</v>
      </c>
      <c r="E2" s="4">
        <f>C2/D2</f>
        <v>80.29833770778653</v>
      </c>
      <c r="F2" s="4">
        <f>(150/5*20)*E2</f>
        <v>48179.002624671921</v>
      </c>
      <c r="G2" s="4">
        <f t="shared" ref="G2:G25" si="0">F2*H2</f>
        <v>3854320.2099737534</v>
      </c>
      <c r="H2" s="4">
        <v>80</v>
      </c>
      <c r="I2" s="4" t="s">
        <v>78</v>
      </c>
      <c r="J2" s="4">
        <f>I2*G2</f>
        <v>955871.41207349079</v>
      </c>
      <c r="K2" s="4" t="s">
        <v>79</v>
      </c>
      <c r="L2" s="10">
        <f t="shared" ref="L2:L25" si="1">K2*J2</f>
        <v>1720.5685417322834</v>
      </c>
      <c r="M2" s="4" t="s">
        <v>80</v>
      </c>
      <c r="N2" s="4">
        <f>M2*L2</f>
        <v>855.12256524094482</v>
      </c>
      <c r="O2" s="64" t="s">
        <v>81</v>
      </c>
      <c r="P2" s="65" t="s">
        <v>82</v>
      </c>
      <c r="Q2" s="4">
        <f t="shared" ref="Q2:Q25" si="2">P2*L2</f>
        <v>15.313060021417321</v>
      </c>
      <c r="R2" s="65" t="s">
        <v>83</v>
      </c>
      <c r="S2" s="65" t="s">
        <v>84</v>
      </c>
      <c r="T2" s="4">
        <f t="shared" ref="T2:T25" si="3">S2*L2</f>
        <v>115.45014915023623</v>
      </c>
      <c r="U2" s="65" t="s">
        <v>85</v>
      </c>
      <c r="V2" s="65" t="s">
        <v>86</v>
      </c>
      <c r="W2" s="4">
        <f t="shared" ref="W2:W25" si="4">V2*L2</f>
        <v>724.35935606929127</v>
      </c>
      <c r="X2" s="79" t="s">
        <v>87</v>
      </c>
      <c r="Y2" s="79">
        <f>X2*K2</f>
        <v>1.206E-5</v>
      </c>
      <c r="Z2" s="65" t="s">
        <v>88</v>
      </c>
      <c r="AA2" s="4">
        <f t="shared" ref="AA2:AA25" si="5">Z2*L2</f>
        <v>204.74765646614171</v>
      </c>
      <c r="AB2" s="65" t="s">
        <v>89</v>
      </c>
      <c r="AC2" s="65" t="s">
        <v>90</v>
      </c>
      <c r="AD2" s="4">
        <f t="shared" ref="AD2:AD25" si="6">AC2*L2</f>
        <v>69.338912231811022</v>
      </c>
    </row>
    <row r="3" spans="1:30" ht="20.100000000000001" customHeight="1">
      <c r="A3" s="4">
        <v>62</v>
      </c>
      <c r="B3" s="5" t="s">
        <v>11</v>
      </c>
      <c r="C3" s="4">
        <v>129573</v>
      </c>
      <c r="D3" s="4">
        <v>1234</v>
      </c>
      <c r="E3" s="4">
        <f t="shared" ref="E3:E25" si="7">C3/D3</f>
        <v>105.00243111831442</v>
      </c>
      <c r="F3" s="4">
        <f t="shared" ref="F3:F25" si="8">(150/5*20)*E3</f>
        <v>63001.45867098865</v>
      </c>
      <c r="G3" s="4">
        <f t="shared" si="0"/>
        <v>5040116.6936790925</v>
      </c>
      <c r="H3" s="4">
        <v>80</v>
      </c>
      <c r="I3" s="4" t="s">
        <v>91</v>
      </c>
      <c r="J3" s="4">
        <f t="shared" ref="J3:J25" si="9">I3*G3</f>
        <v>1254989.0567260941</v>
      </c>
      <c r="K3" s="4" t="s">
        <v>92</v>
      </c>
      <c r="L3" s="10">
        <f t="shared" si="1"/>
        <v>1229.8892755915722</v>
      </c>
      <c r="M3" s="4" t="s">
        <v>93</v>
      </c>
      <c r="N3" s="4">
        <f t="shared" ref="N3:N25" si="10">M3*L3</f>
        <v>601.41585576427883</v>
      </c>
      <c r="O3" s="64" t="s">
        <v>94</v>
      </c>
      <c r="P3" s="65" t="s">
        <v>95</v>
      </c>
      <c r="Q3" s="4">
        <f t="shared" si="2"/>
        <v>183.25350206314425</v>
      </c>
      <c r="R3" s="65" t="s">
        <v>96</v>
      </c>
      <c r="S3" s="65" t="s">
        <v>97</v>
      </c>
      <c r="T3" s="4">
        <f t="shared" si="3"/>
        <v>137.74759886625608</v>
      </c>
      <c r="U3" s="65" t="s">
        <v>98</v>
      </c>
      <c r="V3" s="65" t="s">
        <v>99</v>
      </c>
      <c r="W3" s="4">
        <f t="shared" si="4"/>
        <v>455.0590319688817</v>
      </c>
      <c r="X3" s="79" t="s">
        <v>100</v>
      </c>
      <c r="Y3" s="79">
        <f t="shared" ref="Y3:Y25" si="11">X3*K3</f>
        <v>1.3132000000000001E-4</v>
      </c>
      <c r="Z3" s="65" t="s">
        <v>101</v>
      </c>
      <c r="AA3" s="4">
        <f t="shared" si="5"/>
        <v>24.474796584272287</v>
      </c>
      <c r="AB3" s="65" t="s">
        <v>102</v>
      </c>
      <c r="AC3" s="65" t="s">
        <v>103</v>
      </c>
      <c r="AD3" s="4">
        <f t="shared" si="6"/>
        <v>9.1011806393776347</v>
      </c>
    </row>
    <row r="4" spans="1:30" ht="20.100000000000001" customHeight="1">
      <c r="A4" s="4">
        <v>63</v>
      </c>
      <c r="B4" s="5" t="s">
        <v>11</v>
      </c>
      <c r="C4" s="4">
        <v>141302</v>
      </c>
      <c r="D4" s="4">
        <v>1177</v>
      </c>
      <c r="E4" s="4">
        <f t="shared" si="7"/>
        <v>120.05267629566696</v>
      </c>
      <c r="F4" s="4">
        <f t="shared" si="8"/>
        <v>72031.605777400167</v>
      </c>
      <c r="G4" s="4">
        <f t="shared" si="0"/>
        <v>5762528.4621920139</v>
      </c>
      <c r="H4" s="4">
        <v>80</v>
      </c>
      <c r="I4" s="4" t="s">
        <v>78</v>
      </c>
      <c r="J4" s="4">
        <f t="shared" si="9"/>
        <v>1429107.0586236194</v>
      </c>
      <c r="K4" s="4" t="s">
        <v>104</v>
      </c>
      <c r="L4" s="10">
        <f t="shared" si="1"/>
        <v>2429.4819996601527</v>
      </c>
      <c r="M4" s="4" t="s">
        <v>105</v>
      </c>
      <c r="N4" s="4">
        <f t="shared" si="10"/>
        <v>1180.7282518348343</v>
      </c>
      <c r="O4" s="64" t="s">
        <v>106</v>
      </c>
      <c r="P4" s="65" t="s">
        <v>107</v>
      </c>
      <c r="Q4" s="4">
        <f t="shared" si="2"/>
        <v>279.39042996091757</v>
      </c>
      <c r="R4" s="65" t="s">
        <v>95</v>
      </c>
      <c r="S4" s="65" t="s">
        <v>108</v>
      </c>
      <c r="T4" s="4">
        <f t="shared" si="3"/>
        <v>175.40860037546304</v>
      </c>
      <c r="U4" s="65" t="s">
        <v>109</v>
      </c>
      <c r="V4" s="65" t="s">
        <v>110</v>
      </c>
      <c r="W4" s="4">
        <f t="shared" si="4"/>
        <v>1025.2414038565844</v>
      </c>
      <c r="X4" s="79" t="s">
        <v>111</v>
      </c>
      <c r="Y4" s="79">
        <f t="shared" si="11"/>
        <v>1.8359999999999999E-4</v>
      </c>
      <c r="Z4" s="65" t="s">
        <v>112</v>
      </c>
      <c r="AA4" s="4">
        <f t="shared" si="5"/>
        <v>135.56509558103653</v>
      </c>
      <c r="AB4" s="65" t="s">
        <v>113</v>
      </c>
      <c r="AC4" s="65" t="s">
        <v>114</v>
      </c>
      <c r="AD4" s="4">
        <f t="shared" si="6"/>
        <v>47.860795393305004</v>
      </c>
    </row>
    <row r="5" spans="1:30" ht="20.100000000000001" customHeight="1">
      <c r="A5" s="4">
        <v>64</v>
      </c>
      <c r="B5" s="5" t="s">
        <v>115</v>
      </c>
      <c r="C5" s="4">
        <v>185997</v>
      </c>
      <c r="D5" s="4">
        <v>1047</v>
      </c>
      <c r="E5" s="4">
        <f t="shared" si="7"/>
        <v>177.64756446991404</v>
      </c>
      <c r="F5" s="4">
        <f t="shared" si="8"/>
        <v>106588.53868194843</v>
      </c>
      <c r="G5" s="4">
        <f t="shared" si="0"/>
        <v>8527083.0945558734</v>
      </c>
      <c r="H5" s="4">
        <v>80</v>
      </c>
      <c r="I5" s="4" t="s">
        <v>106</v>
      </c>
      <c r="J5" s="4">
        <f t="shared" si="9"/>
        <v>2012391.610315186</v>
      </c>
      <c r="K5" s="4" t="s">
        <v>116</v>
      </c>
      <c r="L5" s="10">
        <f t="shared" si="1"/>
        <v>3219.8265765042979</v>
      </c>
      <c r="M5" s="4" t="s">
        <v>117</v>
      </c>
      <c r="N5" s="4">
        <f t="shared" si="10"/>
        <v>1413.5038670853869</v>
      </c>
      <c r="O5" s="64" t="s">
        <v>118</v>
      </c>
      <c r="P5" s="65" t="s">
        <v>119</v>
      </c>
      <c r="Q5" s="4">
        <f t="shared" si="2"/>
        <v>165.82106868997133</v>
      </c>
      <c r="R5" s="65" t="s">
        <v>120</v>
      </c>
      <c r="S5" s="65" t="s">
        <v>121</v>
      </c>
      <c r="T5" s="4">
        <f t="shared" si="3"/>
        <v>133.62280292492838</v>
      </c>
      <c r="U5" s="65" t="s">
        <v>122</v>
      </c>
      <c r="V5" s="65" t="s">
        <v>123</v>
      </c>
      <c r="W5" s="4">
        <f t="shared" si="4"/>
        <v>1155.9177409650429</v>
      </c>
      <c r="X5" s="79" t="s">
        <v>124</v>
      </c>
      <c r="Y5" s="79">
        <f t="shared" si="11"/>
        <v>7.1840000000000003E-5</v>
      </c>
      <c r="Z5" s="65" t="s">
        <v>125</v>
      </c>
      <c r="AA5" s="4">
        <f t="shared" si="5"/>
        <v>160.34736350991403</v>
      </c>
      <c r="AB5" s="65" t="s">
        <v>126</v>
      </c>
      <c r="AC5" s="65" t="s">
        <v>127</v>
      </c>
      <c r="AD5" s="4">
        <f t="shared" si="6"/>
        <v>48.297398647564464</v>
      </c>
    </row>
    <row r="6" spans="1:30" ht="20.100000000000001" customHeight="1">
      <c r="A6" s="4">
        <v>65</v>
      </c>
      <c r="B6" s="5" t="s">
        <v>11</v>
      </c>
      <c r="C6" s="4">
        <v>142335</v>
      </c>
      <c r="D6" s="4">
        <v>1204</v>
      </c>
      <c r="E6" s="4">
        <f t="shared" si="7"/>
        <v>118.21843853820597</v>
      </c>
      <c r="F6" s="4">
        <f t="shared" si="8"/>
        <v>70931.063122923588</v>
      </c>
      <c r="G6" s="4">
        <f t="shared" si="0"/>
        <v>5674485.0498338873</v>
      </c>
      <c r="H6" s="4">
        <v>80</v>
      </c>
      <c r="I6" s="4" t="s">
        <v>128</v>
      </c>
      <c r="J6" s="4">
        <f t="shared" si="9"/>
        <v>1316480.531561462</v>
      </c>
      <c r="K6" s="4" t="s">
        <v>129</v>
      </c>
      <c r="L6" s="10">
        <f t="shared" si="1"/>
        <v>2632.9610631229239</v>
      </c>
      <c r="M6" s="4" t="s">
        <v>130</v>
      </c>
      <c r="N6" s="4">
        <f t="shared" si="10"/>
        <v>1321.7464536877078</v>
      </c>
      <c r="O6" s="64" t="s">
        <v>131</v>
      </c>
      <c r="P6" s="65" t="s">
        <v>132</v>
      </c>
      <c r="Q6" s="4">
        <f t="shared" si="2"/>
        <v>271.19498950166115</v>
      </c>
      <c r="R6" s="65" t="s">
        <v>118</v>
      </c>
      <c r="S6" s="65" t="s">
        <v>133</v>
      </c>
      <c r="T6" s="4">
        <f t="shared" si="3"/>
        <v>154.29151829900334</v>
      </c>
      <c r="U6" s="65" t="s">
        <v>134</v>
      </c>
      <c r="V6" s="65" t="s">
        <v>135</v>
      </c>
      <c r="W6" s="4">
        <f t="shared" si="4"/>
        <v>971.5626322923589</v>
      </c>
      <c r="X6" s="79" t="s">
        <v>136</v>
      </c>
      <c r="Y6" s="79">
        <f t="shared" si="11"/>
        <v>1.694E-4</v>
      </c>
      <c r="Z6" s="65" t="s">
        <v>137</v>
      </c>
      <c r="AA6" s="4">
        <f t="shared" si="5"/>
        <v>82.938273488372104</v>
      </c>
      <c r="AB6" s="65" t="s">
        <v>138</v>
      </c>
      <c r="AC6" s="65" t="s">
        <v>139</v>
      </c>
      <c r="AD6" s="4">
        <f t="shared" si="6"/>
        <v>71.353244810631239</v>
      </c>
    </row>
    <row r="7" spans="1:30" ht="20.100000000000001" customHeight="1">
      <c r="A7" s="4">
        <v>66</v>
      </c>
      <c r="B7" s="5" t="s">
        <v>11</v>
      </c>
      <c r="C7" s="4">
        <v>126170</v>
      </c>
      <c r="D7" s="4">
        <v>1179</v>
      </c>
      <c r="E7" s="4">
        <f t="shared" si="7"/>
        <v>107.01441899915183</v>
      </c>
      <c r="F7" s="4">
        <f t="shared" si="8"/>
        <v>64208.6513994911</v>
      </c>
      <c r="G7" s="4">
        <f t="shared" si="0"/>
        <v>5136692.1119592879</v>
      </c>
      <c r="H7" s="4">
        <v>80</v>
      </c>
      <c r="I7" s="4" t="s">
        <v>140</v>
      </c>
      <c r="J7" s="4">
        <f t="shared" si="9"/>
        <v>1304719.7964376591</v>
      </c>
      <c r="K7" s="4" t="s">
        <v>141</v>
      </c>
      <c r="L7" s="10">
        <f t="shared" si="1"/>
        <v>1957.0796946564888</v>
      </c>
      <c r="M7" s="4" t="s">
        <v>142</v>
      </c>
      <c r="N7" s="4">
        <f t="shared" si="10"/>
        <v>962.88320977099249</v>
      </c>
      <c r="O7" s="64" t="s">
        <v>143</v>
      </c>
      <c r="P7" s="65" t="s">
        <v>144</v>
      </c>
      <c r="Q7" s="4">
        <f t="shared" si="2"/>
        <v>33.074646839694658</v>
      </c>
      <c r="R7" s="65" t="s">
        <v>145</v>
      </c>
      <c r="S7" s="65" t="s">
        <v>146</v>
      </c>
      <c r="T7" s="4">
        <f t="shared" si="3"/>
        <v>148.34664085496186</v>
      </c>
      <c r="U7" s="65" t="s">
        <v>147</v>
      </c>
      <c r="V7" s="65" t="s">
        <v>148</v>
      </c>
      <c r="W7" s="4">
        <f t="shared" si="4"/>
        <v>890.47126106870246</v>
      </c>
      <c r="X7" s="79" t="s">
        <v>144</v>
      </c>
      <c r="Y7" s="79">
        <f t="shared" si="11"/>
        <v>2.535E-5</v>
      </c>
      <c r="Z7" s="65" t="s">
        <v>149</v>
      </c>
      <c r="AA7" s="4">
        <f t="shared" si="5"/>
        <v>71.43340885496184</v>
      </c>
      <c r="AB7" s="65" t="s">
        <v>150</v>
      </c>
      <c r="AC7" s="65" t="s">
        <v>151</v>
      </c>
      <c r="AD7" s="4">
        <f t="shared" si="6"/>
        <v>82.393055145038176</v>
      </c>
    </row>
    <row r="8" spans="1:30" s="6" customFormat="1" ht="20.100000000000001" customHeight="1">
      <c r="A8" s="6">
        <v>67</v>
      </c>
      <c r="B8" s="6" t="s">
        <v>152</v>
      </c>
      <c r="C8" s="6">
        <v>92119</v>
      </c>
      <c r="D8" s="6">
        <v>1251</v>
      </c>
      <c r="E8" s="6">
        <f t="shared" si="7"/>
        <v>73.636290967226216</v>
      </c>
      <c r="F8" s="6">
        <f t="shared" si="8"/>
        <v>44181.774580335732</v>
      </c>
      <c r="G8" s="6">
        <f t="shared" si="0"/>
        <v>3534541.9664268587</v>
      </c>
      <c r="H8" s="6">
        <v>80</v>
      </c>
      <c r="I8" s="6" t="s">
        <v>153</v>
      </c>
      <c r="J8" s="6">
        <f t="shared" si="9"/>
        <v>947257.24700239813</v>
      </c>
      <c r="K8" s="6" t="s">
        <v>154</v>
      </c>
      <c r="L8" s="11">
        <f t="shared" si="1"/>
        <v>445.21090609112713</v>
      </c>
      <c r="M8" s="6" t="s">
        <v>155</v>
      </c>
      <c r="N8" s="6">
        <f t="shared" si="10"/>
        <v>239.5234674770264</v>
      </c>
      <c r="O8" s="66" t="s">
        <v>156</v>
      </c>
      <c r="P8" s="67" t="s">
        <v>157</v>
      </c>
      <c r="Q8" s="6">
        <f t="shared" si="2"/>
        <v>31.120242335769788</v>
      </c>
      <c r="R8" s="67" t="s">
        <v>158</v>
      </c>
      <c r="S8" s="67" t="s">
        <v>159</v>
      </c>
      <c r="T8" s="6">
        <f t="shared" si="3"/>
        <v>64.555581383213436</v>
      </c>
      <c r="U8" s="67" t="s">
        <v>160</v>
      </c>
      <c r="V8" s="67" t="s">
        <v>161</v>
      </c>
      <c r="W8" s="6">
        <f t="shared" si="4"/>
        <v>196.33800958618707</v>
      </c>
      <c r="X8" s="80" t="s">
        <v>162</v>
      </c>
      <c r="Y8" s="80">
        <f t="shared" si="11"/>
        <v>3.0315E-5</v>
      </c>
      <c r="Z8" s="67" t="s">
        <v>163</v>
      </c>
      <c r="AA8" s="6">
        <f t="shared" si="5"/>
        <v>14.380312266743408</v>
      </c>
      <c r="AB8" s="67" t="s">
        <v>164</v>
      </c>
      <c r="AC8" s="67" t="s">
        <v>165</v>
      </c>
      <c r="AD8" s="6">
        <f t="shared" si="6"/>
        <v>11.976173373851321</v>
      </c>
    </row>
    <row r="9" spans="1:30" s="6" customFormat="1" ht="20.100000000000001" customHeight="1">
      <c r="A9" s="6">
        <v>68</v>
      </c>
      <c r="B9" s="6" t="s">
        <v>152</v>
      </c>
      <c r="C9" s="6">
        <v>162837</v>
      </c>
      <c r="D9" s="6">
        <v>1151</v>
      </c>
      <c r="E9" s="6">
        <f t="shared" si="7"/>
        <v>141.47437011294525</v>
      </c>
      <c r="F9" s="6">
        <f t="shared" si="8"/>
        <v>84884.622067767152</v>
      </c>
      <c r="G9" s="6">
        <f t="shared" si="0"/>
        <v>6790769.7654213719</v>
      </c>
      <c r="H9" s="6">
        <v>80</v>
      </c>
      <c r="I9" s="6" t="s">
        <v>166</v>
      </c>
      <c r="J9" s="6">
        <f t="shared" si="9"/>
        <v>1785972.4483058208</v>
      </c>
      <c r="K9" s="6" t="s">
        <v>167</v>
      </c>
      <c r="L9" s="11">
        <f t="shared" si="1"/>
        <v>1321.6196117463073</v>
      </c>
      <c r="M9" s="6" t="s">
        <v>168</v>
      </c>
      <c r="N9" s="6">
        <f t="shared" si="10"/>
        <v>660.80980587315366</v>
      </c>
      <c r="O9" s="66" t="s">
        <v>169</v>
      </c>
      <c r="P9" s="67" t="s">
        <v>170</v>
      </c>
      <c r="Q9" s="6">
        <f t="shared" si="2"/>
        <v>30.000765186641178</v>
      </c>
      <c r="R9" s="67" t="s">
        <v>171</v>
      </c>
      <c r="S9" s="67" t="s">
        <v>172</v>
      </c>
      <c r="T9" s="6">
        <f t="shared" si="3"/>
        <v>120.13522270773933</v>
      </c>
      <c r="U9" s="67" t="s">
        <v>173</v>
      </c>
      <c r="V9" s="67" t="s">
        <v>174</v>
      </c>
      <c r="W9" s="6">
        <f t="shared" si="4"/>
        <v>563.00995460392687</v>
      </c>
      <c r="X9" s="80" t="s">
        <v>175</v>
      </c>
      <c r="Y9" s="80">
        <f t="shared" si="11"/>
        <v>1.2580000000000002E-5</v>
      </c>
      <c r="Z9" s="67" t="s">
        <v>176</v>
      </c>
      <c r="AA9" s="6">
        <f t="shared" si="5"/>
        <v>37.53399697359513</v>
      </c>
      <c r="AB9" s="67" t="s">
        <v>177</v>
      </c>
      <c r="AC9" s="67" t="s">
        <v>178</v>
      </c>
      <c r="AD9" s="6">
        <f t="shared" si="6"/>
        <v>7.5332317869539525</v>
      </c>
    </row>
    <row r="10" spans="1:30" s="6" customFormat="1" ht="20.100000000000001" customHeight="1">
      <c r="A10" s="6">
        <v>69</v>
      </c>
      <c r="B10" s="6" t="s">
        <v>152</v>
      </c>
      <c r="C10" s="6">
        <v>120769</v>
      </c>
      <c r="D10" s="6">
        <v>1204</v>
      </c>
      <c r="E10" s="6">
        <f t="shared" si="7"/>
        <v>100.30647840531562</v>
      </c>
      <c r="F10" s="6">
        <f t="shared" si="8"/>
        <v>60183.887043189367</v>
      </c>
      <c r="G10" s="6">
        <f t="shared" si="0"/>
        <v>4814710.963455149</v>
      </c>
      <c r="H10" s="6">
        <v>80</v>
      </c>
      <c r="I10" s="6" t="s">
        <v>179</v>
      </c>
      <c r="J10" s="6">
        <f t="shared" si="9"/>
        <v>1088124.6777408638</v>
      </c>
      <c r="K10" s="6" t="s">
        <v>180</v>
      </c>
      <c r="L10" s="11">
        <f t="shared" si="1"/>
        <v>924.90597607973416</v>
      </c>
      <c r="M10" s="6" t="s">
        <v>181</v>
      </c>
      <c r="N10" s="6">
        <f t="shared" si="10"/>
        <v>495.74960317873752</v>
      </c>
      <c r="O10" s="66" t="s">
        <v>182</v>
      </c>
      <c r="P10" s="67" t="s">
        <v>183</v>
      </c>
      <c r="Q10" s="6">
        <f t="shared" si="2"/>
        <v>135.03627250764117</v>
      </c>
      <c r="R10" s="67" t="s">
        <v>184</v>
      </c>
      <c r="S10" s="67" t="s">
        <v>185</v>
      </c>
      <c r="T10" s="6">
        <f t="shared" si="3"/>
        <v>34.406502310166111</v>
      </c>
      <c r="U10" s="67" t="s">
        <v>186</v>
      </c>
      <c r="V10" s="67" t="s">
        <v>187</v>
      </c>
      <c r="W10" s="6">
        <f t="shared" si="4"/>
        <v>380.1363561687707</v>
      </c>
      <c r="X10" s="80" t="s">
        <v>100</v>
      </c>
      <c r="Y10" s="80">
        <f t="shared" si="11"/>
        <v>1.139E-4</v>
      </c>
      <c r="Z10" s="67" t="s">
        <v>139</v>
      </c>
      <c r="AA10" s="6">
        <f t="shared" si="5"/>
        <v>25.064951951760793</v>
      </c>
      <c r="AB10" s="67" t="s">
        <v>188</v>
      </c>
      <c r="AC10" s="67" t="s">
        <v>189</v>
      </c>
      <c r="AD10" s="6">
        <f t="shared" si="6"/>
        <v>31.261821991495012</v>
      </c>
    </row>
    <row r="11" spans="1:30" s="6" customFormat="1" ht="20.100000000000001" customHeight="1">
      <c r="A11" s="6">
        <v>70</v>
      </c>
      <c r="B11" s="6" t="s">
        <v>152</v>
      </c>
      <c r="C11" s="6">
        <v>94984</v>
      </c>
      <c r="D11" s="6">
        <v>1200</v>
      </c>
      <c r="E11" s="6">
        <f t="shared" si="7"/>
        <v>79.153333333333336</v>
      </c>
      <c r="F11" s="6">
        <f t="shared" si="8"/>
        <v>47492</v>
      </c>
      <c r="G11" s="6">
        <f t="shared" si="0"/>
        <v>3799360</v>
      </c>
      <c r="H11" s="6">
        <v>80</v>
      </c>
      <c r="I11" s="6" t="s">
        <v>190</v>
      </c>
      <c r="J11" s="6">
        <f t="shared" si="9"/>
        <v>984034.24</v>
      </c>
      <c r="K11" s="6" t="s">
        <v>167</v>
      </c>
      <c r="L11" s="11">
        <f t="shared" si="1"/>
        <v>728.18533760000003</v>
      </c>
      <c r="M11" s="6" t="s">
        <v>191</v>
      </c>
      <c r="N11" s="6">
        <f t="shared" si="10"/>
        <v>462.39768937600002</v>
      </c>
      <c r="O11" s="66" t="s">
        <v>192</v>
      </c>
      <c r="P11" s="67" t="s">
        <v>193</v>
      </c>
      <c r="Q11" s="6">
        <f t="shared" si="2"/>
        <v>13.762702880640001</v>
      </c>
      <c r="R11" s="67" t="s">
        <v>194</v>
      </c>
      <c r="S11" s="67" t="s">
        <v>195</v>
      </c>
      <c r="T11" s="6">
        <f t="shared" si="3"/>
        <v>27.452587227519999</v>
      </c>
      <c r="U11" s="67" t="s">
        <v>196</v>
      </c>
      <c r="V11" s="67" t="s">
        <v>197</v>
      </c>
      <c r="W11" s="6">
        <f t="shared" si="4"/>
        <v>402.68649169280008</v>
      </c>
      <c r="X11" s="80" t="s">
        <v>193</v>
      </c>
      <c r="Y11" s="80">
        <f t="shared" si="11"/>
        <v>1.3986E-5</v>
      </c>
      <c r="Z11" s="67" t="s">
        <v>198</v>
      </c>
      <c r="AA11" s="6">
        <f t="shared" si="5"/>
        <v>9.1751352537600006</v>
      </c>
      <c r="AB11" s="67" t="s">
        <v>199</v>
      </c>
      <c r="AC11" s="67" t="s">
        <v>200</v>
      </c>
      <c r="AD11" s="6">
        <f t="shared" si="6"/>
        <v>22.86501960064</v>
      </c>
    </row>
    <row r="12" spans="1:30" s="6" customFormat="1" ht="20.100000000000001" customHeight="1">
      <c r="A12" s="6">
        <v>71</v>
      </c>
      <c r="B12" s="6" t="s">
        <v>152</v>
      </c>
      <c r="C12" s="6">
        <v>165018</v>
      </c>
      <c r="D12" s="6">
        <v>1145</v>
      </c>
      <c r="E12" s="6">
        <f t="shared" si="7"/>
        <v>144.12052401746726</v>
      </c>
      <c r="F12" s="6">
        <f t="shared" si="8"/>
        <v>86472.31441048035</v>
      </c>
      <c r="G12" s="6">
        <f t="shared" si="0"/>
        <v>6917785.1528384276</v>
      </c>
      <c r="H12" s="6">
        <v>80</v>
      </c>
      <c r="I12" s="6" t="s">
        <v>201</v>
      </c>
      <c r="J12" s="6">
        <f t="shared" si="9"/>
        <v>1646432.8663755457</v>
      </c>
      <c r="K12" s="6" t="s">
        <v>202</v>
      </c>
      <c r="L12" s="11">
        <f t="shared" si="1"/>
        <v>2305.006012925764</v>
      </c>
      <c r="M12" s="6" t="s">
        <v>203</v>
      </c>
      <c r="N12" s="6">
        <f t="shared" si="10"/>
        <v>1085.6578320880349</v>
      </c>
      <c r="O12" s="66" t="s">
        <v>204</v>
      </c>
      <c r="P12" s="67" t="s">
        <v>205</v>
      </c>
      <c r="Q12" s="6">
        <f t="shared" si="2"/>
        <v>143.14087340268995</v>
      </c>
      <c r="R12" s="67" t="s">
        <v>111</v>
      </c>
      <c r="S12" s="67" t="s">
        <v>206</v>
      </c>
      <c r="T12" s="6">
        <f t="shared" si="3"/>
        <v>117.55530665921395</v>
      </c>
      <c r="U12" s="67" t="s">
        <v>207</v>
      </c>
      <c r="V12" s="67" t="s">
        <v>208</v>
      </c>
      <c r="W12" s="6">
        <f t="shared" si="4"/>
        <v>961.18750739004361</v>
      </c>
      <c r="X12" s="80" t="s">
        <v>209</v>
      </c>
      <c r="Y12" s="80">
        <f t="shared" si="11"/>
        <v>8.4699999999999999E-5</v>
      </c>
      <c r="Z12" s="67" t="s">
        <v>210</v>
      </c>
      <c r="AA12" s="6">
        <f t="shared" si="5"/>
        <v>99.115258555807841</v>
      </c>
      <c r="AB12" s="67" t="s">
        <v>211</v>
      </c>
      <c r="AC12" s="67" t="s">
        <v>212</v>
      </c>
      <c r="AD12" s="6">
        <f t="shared" si="6"/>
        <v>32.961585984838429</v>
      </c>
    </row>
    <row r="13" spans="1:30" s="6" customFormat="1" ht="20.100000000000001" customHeight="1">
      <c r="A13" s="6">
        <v>72</v>
      </c>
      <c r="B13" s="6" t="s">
        <v>152</v>
      </c>
      <c r="C13" s="6">
        <v>117281</v>
      </c>
      <c r="D13" s="6">
        <v>1140</v>
      </c>
      <c r="E13" s="6">
        <f t="shared" si="7"/>
        <v>102.87807017543859</v>
      </c>
      <c r="F13" s="6">
        <f t="shared" si="8"/>
        <v>61726.84210526316</v>
      </c>
      <c r="G13" s="6">
        <f t="shared" si="0"/>
        <v>4938147.3684210526</v>
      </c>
      <c r="H13" s="6">
        <v>80</v>
      </c>
      <c r="I13" s="6" t="s">
        <v>213</v>
      </c>
      <c r="J13" s="6">
        <f t="shared" si="9"/>
        <v>1199969.8105263158</v>
      </c>
      <c r="K13" s="6" t="s">
        <v>214</v>
      </c>
      <c r="L13" s="11">
        <f t="shared" si="1"/>
        <v>635.98399957894742</v>
      </c>
      <c r="M13" s="6" t="s">
        <v>215</v>
      </c>
      <c r="N13" s="6">
        <f t="shared" si="10"/>
        <v>414.66156772547373</v>
      </c>
      <c r="O13" s="66" t="s">
        <v>216</v>
      </c>
      <c r="P13" s="67" t="s">
        <v>132</v>
      </c>
      <c r="Q13" s="6">
        <f t="shared" si="2"/>
        <v>65.506351956631576</v>
      </c>
      <c r="R13" s="67" t="s">
        <v>217</v>
      </c>
      <c r="S13" s="67" t="s">
        <v>218</v>
      </c>
      <c r="T13" s="6">
        <f t="shared" si="3"/>
        <v>27.665303981684211</v>
      </c>
      <c r="U13" s="67" t="s">
        <v>219</v>
      </c>
      <c r="V13" s="67" t="s">
        <v>220</v>
      </c>
      <c r="W13" s="6">
        <f t="shared" si="4"/>
        <v>376.50252775073687</v>
      </c>
      <c r="X13" s="80" t="s">
        <v>132</v>
      </c>
      <c r="Y13" s="80">
        <f t="shared" si="11"/>
        <v>5.4589999999999997E-5</v>
      </c>
      <c r="Z13" s="67" t="s">
        <v>221</v>
      </c>
      <c r="AA13" s="6">
        <f t="shared" si="5"/>
        <v>13.800852790863159</v>
      </c>
      <c r="AB13" s="67" t="s">
        <v>222</v>
      </c>
      <c r="AC13" s="67" t="s">
        <v>223</v>
      </c>
      <c r="AD13" s="6">
        <f t="shared" si="6"/>
        <v>6.932225595410527</v>
      </c>
    </row>
    <row r="14" spans="1:30" s="8" customFormat="1" ht="20.100000000000001" customHeight="1">
      <c r="A14" s="8">
        <v>73</v>
      </c>
      <c r="B14" s="8" t="s">
        <v>224</v>
      </c>
      <c r="C14" s="8">
        <v>138929</v>
      </c>
      <c r="D14" s="8">
        <v>1212</v>
      </c>
      <c r="E14" s="8">
        <f t="shared" si="7"/>
        <v>114.62788778877888</v>
      </c>
      <c r="F14" s="8">
        <f t="shared" si="8"/>
        <v>68776.732673267325</v>
      </c>
      <c r="G14" s="8">
        <f t="shared" si="0"/>
        <v>5502138.6138613857</v>
      </c>
      <c r="H14" s="8">
        <v>80</v>
      </c>
      <c r="I14" s="8" t="s">
        <v>225</v>
      </c>
      <c r="J14" s="8">
        <f t="shared" si="9"/>
        <v>1320513.2673267326</v>
      </c>
      <c r="K14" s="8" t="s">
        <v>226</v>
      </c>
      <c r="L14" s="12">
        <f t="shared" si="1"/>
        <v>1320.5132673267326</v>
      </c>
      <c r="M14" s="8" t="s">
        <v>227</v>
      </c>
      <c r="N14" s="8">
        <f t="shared" si="10"/>
        <v>756.65410217821773</v>
      </c>
      <c r="O14" s="68" t="s">
        <v>228</v>
      </c>
      <c r="P14" s="69" t="s">
        <v>229</v>
      </c>
      <c r="Q14" s="8">
        <f t="shared" si="2"/>
        <v>207.32058297029701</v>
      </c>
      <c r="R14" s="69" t="s">
        <v>230</v>
      </c>
      <c r="S14" s="69" t="s">
        <v>231</v>
      </c>
      <c r="T14" s="8">
        <f t="shared" si="3"/>
        <v>114.48850027722771</v>
      </c>
      <c r="U14" s="69" t="s">
        <v>232</v>
      </c>
      <c r="V14" s="69" t="s">
        <v>233</v>
      </c>
      <c r="W14" s="8">
        <f t="shared" si="4"/>
        <v>702.51305821782182</v>
      </c>
      <c r="X14" s="81" t="s">
        <v>230</v>
      </c>
      <c r="Y14" s="81">
        <f t="shared" si="11"/>
        <v>1.5100000000000001E-4</v>
      </c>
      <c r="Z14" s="69" t="s">
        <v>234</v>
      </c>
      <c r="AA14" s="8">
        <f t="shared" si="5"/>
        <v>99.434649029702967</v>
      </c>
      <c r="AB14" s="69" t="s">
        <v>212</v>
      </c>
      <c r="AC14" s="69" t="s">
        <v>235</v>
      </c>
      <c r="AD14" s="8">
        <f t="shared" si="6"/>
        <v>10.828208792079208</v>
      </c>
    </row>
    <row r="15" spans="1:30" s="8" customFormat="1" ht="20.100000000000001" customHeight="1">
      <c r="A15" s="8">
        <v>74</v>
      </c>
      <c r="B15" s="8" t="s">
        <v>224</v>
      </c>
      <c r="C15" s="8">
        <v>171315</v>
      </c>
      <c r="D15" s="8">
        <v>1206</v>
      </c>
      <c r="E15" s="8">
        <f t="shared" si="7"/>
        <v>142.05223880597015</v>
      </c>
      <c r="F15" s="8">
        <f t="shared" si="8"/>
        <v>85231.343283582086</v>
      </c>
      <c r="G15" s="8">
        <f t="shared" si="0"/>
        <v>6818507.4626865666</v>
      </c>
      <c r="H15" s="8">
        <v>80</v>
      </c>
      <c r="I15" s="8" t="s">
        <v>91</v>
      </c>
      <c r="J15" s="8">
        <f t="shared" si="9"/>
        <v>1697808.358208955</v>
      </c>
      <c r="K15" s="8" t="s">
        <v>236</v>
      </c>
      <c r="L15" s="12">
        <f t="shared" si="1"/>
        <v>1867.5891940298507</v>
      </c>
      <c r="M15" s="8" t="s">
        <v>237</v>
      </c>
      <c r="N15" s="8">
        <f t="shared" si="10"/>
        <v>999.1602188059702</v>
      </c>
      <c r="O15" s="68" t="s">
        <v>238</v>
      </c>
      <c r="P15" s="69" t="s">
        <v>230</v>
      </c>
      <c r="Q15" s="8">
        <f t="shared" si="2"/>
        <v>282.00596829850747</v>
      </c>
      <c r="R15" s="69" t="s">
        <v>239</v>
      </c>
      <c r="S15" s="69" t="s">
        <v>132</v>
      </c>
      <c r="T15" s="8">
        <f t="shared" si="3"/>
        <v>192.36168698507461</v>
      </c>
      <c r="U15" s="69" t="s">
        <v>240</v>
      </c>
      <c r="V15" s="69" t="s">
        <v>241</v>
      </c>
      <c r="W15" s="8">
        <f t="shared" si="4"/>
        <v>862.82620764179103</v>
      </c>
      <c r="X15" s="81" t="s">
        <v>242</v>
      </c>
      <c r="Y15" s="81">
        <f t="shared" si="11"/>
        <v>1.5400000000000003E-4</v>
      </c>
      <c r="Z15" s="69" t="s">
        <v>243</v>
      </c>
      <c r="AA15" s="8">
        <f t="shared" si="5"/>
        <v>17.742097343283582</v>
      </c>
      <c r="AB15" s="69" t="s">
        <v>244</v>
      </c>
      <c r="AC15" s="69" t="s">
        <v>223</v>
      </c>
      <c r="AD15" s="8">
        <f t="shared" si="6"/>
        <v>20.356722214925373</v>
      </c>
    </row>
    <row r="16" spans="1:30" s="8" customFormat="1" ht="20.100000000000001" customHeight="1">
      <c r="A16" s="8">
        <v>75</v>
      </c>
      <c r="B16" s="8" t="s">
        <v>224</v>
      </c>
      <c r="C16" s="8">
        <v>151837</v>
      </c>
      <c r="D16" s="8">
        <v>1200</v>
      </c>
      <c r="E16" s="8">
        <f t="shared" si="7"/>
        <v>126.53083333333333</v>
      </c>
      <c r="F16" s="8">
        <f t="shared" si="8"/>
        <v>75918.5</v>
      </c>
      <c r="G16" s="8">
        <f t="shared" si="0"/>
        <v>6073480</v>
      </c>
      <c r="H16" s="8">
        <v>80</v>
      </c>
      <c r="I16" s="8" t="s">
        <v>245</v>
      </c>
      <c r="J16" s="8">
        <f t="shared" si="9"/>
        <v>1494076.08</v>
      </c>
      <c r="K16" s="8" t="s">
        <v>141</v>
      </c>
      <c r="L16" s="12">
        <f t="shared" si="1"/>
        <v>2241.1141200000002</v>
      </c>
      <c r="M16" s="8" t="s">
        <v>246</v>
      </c>
      <c r="N16" s="8">
        <f t="shared" si="10"/>
        <v>1458.9652921200002</v>
      </c>
      <c r="O16" s="68" t="s">
        <v>247</v>
      </c>
      <c r="P16" s="69" t="s">
        <v>248</v>
      </c>
      <c r="Q16" s="8">
        <f t="shared" si="2"/>
        <v>298.06817796000001</v>
      </c>
      <c r="R16" s="69" t="s">
        <v>201</v>
      </c>
      <c r="S16" s="69" t="s">
        <v>249</v>
      </c>
      <c r="T16" s="8">
        <f t="shared" si="3"/>
        <v>347.3726886</v>
      </c>
      <c r="U16" s="69" t="s">
        <v>250</v>
      </c>
      <c r="V16" s="69" t="s">
        <v>251</v>
      </c>
      <c r="W16" s="8">
        <f t="shared" si="4"/>
        <v>1304.3284178399999</v>
      </c>
      <c r="X16" s="81" t="s">
        <v>156</v>
      </c>
      <c r="Y16" s="81">
        <f t="shared" si="11"/>
        <v>1.9500000000000002E-4</v>
      </c>
      <c r="Z16" s="69" t="s">
        <v>252</v>
      </c>
      <c r="AA16" s="8">
        <f t="shared" si="5"/>
        <v>61.406526888000009</v>
      </c>
      <c r="AB16" s="69" t="s">
        <v>253</v>
      </c>
      <c r="AC16" s="69" t="s">
        <v>254</v>
      </c>
      <c r="AD16" s="8">
        <f t="shared" si="6"/>
        <v>36.754271568000007</v>
      </c>
    </row>
    <row r="17" spans="1:30" s="8" customFormat="1" ht="20.100000000000001" customHeight="1">
      <c r="A17" s="8">
        <v>76</v>
      </c>
      <c r="B17" s="8" t="s">
        <v>224</v>
      </c>
      <c r="C17" s="8">
        <v>251172</v>
      </c>
      <c r="D17" s="8">
        <v>1070</v>
      </c>
      <c r="E17" s="8">
        <f t="shared" si="7"/>
        <v>234.74018691588785</v>
      </c>
      <c r="F17" s="8">
        <f t="shared" si="8"/>
        <v>140844.11214953271</v>
      </c>
      <c r="G17" s="8">
        <f t="shared" si="0"/>
        <v>11267528.971962616</v>
      </c>
      <c r="H17" s="8">
        <v>80</v>
      </c>
      <c r="I17" s="8" t="s">
        <v>255</v>
      </c>
      <c r="J17" s="8">
        <f t="shared" si="9"/>
        <v>2580264.1345794392</v>
      </c>
      <c r="K17" s="8" t="s">
        <v>116</v>
      </c>
      <c r="L17" s="12">
        <f t="shared" si="1"/>
        <v>4128.4226153271029</v>
      </c>
      <c r="M17" s="8" t="s">
        <v>256</v>
      </c>
      <c r="N17" s="8">
        <f t="shared" si="10"/>
        <v>2382.0998490437382</v>
      </c>
      <c r="O17" s="68" t="s">
        <v>257</v>
      </c>
      <c r="P17" s="69" t="s">
        <v>258</v>
      </c>
      <c r="Q17" s="8">
        <f t="shared" si="2"/>
        <v>532.56651737719631</v>
      </c>
      <c r="R17" s="69" t="s">
        <v>259</v>
      </c>
      <c r="S17" s="69" t="s">
        <v>260</v>
      </c>
      <c r="T17" s="8">
        <f t="shared" si="3"/>
        <v>495.41071383925231</v>
      </c>
      <c r="U17" s="69" t="s">
        <v>261</v>
      </c>
      <c r="V17" s="69" t="s">
        <v>130</v>
      </c>
      <c r="W17" s="8">
        <f t="shared" si="4"/>
        <v>2072.4681528942056</v>
      </c>
      <c r="X17" s="81" t="s">
        <v>262</v>
      </c>
      <c r="Y17" s="81">
        <f t="shared" si="11"/>
        <v>2.0160000000000002E-4</v>
      </c>
      <c r="Z17" s="69" t="s">
        <v>263</v>
      </c>
      <c r="AA17" s="8">
        <f t="shared" si="5"/>
        <v>156.4672171208972</v>
      </c>
      <c r="AB17" s="69" t="s">
        <v>254</v>
      </c>
      <c r="AC17" s="69" t="s">
        <v>243</v>
      </c>
      <c r="AD17" s="8">
        <f t="shared" si="6"/>
        <v>39.22001484560748</v>
      </c>
    </row>
    <row r="18" spans="1:30" s="8" customFormat="1" ht="20.100000000000001" customHeight="1">
      <c r="A18" s="8">
        <v>77</v>
      </c>
      <c r="B18" s="8" t="s">
        <v>224</v>
      </c>
      <c r="C18" s="8">
        <v>63675</v>
      </c>
      <c r="D18" s="8">
        <v>1270</v>
      </c>
      <c r="E18" s="8">
        <f t="shared" si="7"/>
        <v>50.137795275590548</v>
      </c>
      <c r="F18" s="8">
        <f t="shared" si="8"/>
        <v>30082.677165354329</v>
      </c>
      <c r="G18" s="8">
        <f t="shared" si="0"/>
        <v>2406614.1732283463</v>
      </c>
      <c r="H18" s="8">
        <v>80</v>
      </c>
      <c r="I18" s="8" t="s">
        <v>166</v>
      </c>
      <c r="J18" s="8">
        <f t="shared" si="9"/>
        <v>632939.52755905513</v>
      </c>
      <c r="K18" s="8" t="s">
        <v>214</v>
      </c>
      <c r="L18" s="12">
        <f t="shared" si="1"/>
        <v>335.45794960629922</v>
      </c>
      <c r="M18" s="8" t="s">
        <v>264</v>
      </c>
      <c r="N18" s="8">
        <f t="shared" si="10"/>
        <v>229.788695480315</v>
      </c>
      <c r="O18" s="68" t="s">
        <v>257</v>
      </c>
      <c r="P18" s="69" t="s">
        <v>145</v>
      </c>
      <c r="Q18" s="8">
        <f t="shared" si="2"/>
        <v>51.660524239370076</v>
      </c>
      <c r="R18" s="69" t="s">
        <v>247</v>
      </c>
      <c r="S18" s="69" t="s">
        <v>242</v>
      </c>
      <c r="T18" s="8">
        <f t="shared" si="3"/>
        <v>46.964112944881897</v>
      </c>
      <c r="U18" s="69" t="s">
        <v>265</v>
      </c>
      <c r="V18" s="69" t="s">
        <v>266</v>
      </c>
      <c r="W18" s="8">
        <f t="shared" si="4"/>
        <v>211.00305030236223</v>
      </c>
      <c r="X18" s="81" t="s">
        <v>267</v>
      </c>
      <c r="Y18" s="81">
        <f t="shared" si="11"/>
        <v>7.7909999999999991E-5</v>
      </c>
      <c r="Z18" s="69" t="s">
        <v>268</v>
      </c>
      <c r="AA18" s="8">
        <f t="shared" si="5"/>
        <v>2.3482056472440944</v>
      </c>
      <c r="AB18" s="69" t="s">
        <v>269</v>
      </c>
      <c r="AC18" s="69" t="s">
        <v>269</v>
      </c>
      <c r="AD18" s="8">
        <f t="shared" si="6"/>
        <v>0</v>
      </c>
    </row>
    <row r="19" spans="1:30" s="8" customFormat="1" ht="20.100000000000001" customHeight="1">
      <c r="A19" s="8">
        <v>78</v>
      </c>
      <c r="B19" s="8" t="s">
        <v>224</v>
      </c>
      <c r="C19" s="8">
        <v>106488</v>
      </c>
      <c r="D19" s="8">
        <v>1129</v>
      </c>
      <c r="E19" s="8">
        <f t="shared" si="7"/>
        <v>94.32063773250664</v>
      </c>
      <c r="F19" s="8">
        <f t="shared" si="8"/>
        <v>56592.382639503987</v>
      </c>
      <c r="G19" s="8">
        <f t="shared" si="0"/>
        <v>4527390.6111603193</v>
      </c>
      <c r="H19" s="8">
        <v>80</v>
      </c>
      <c r="I19" s="8" t="s">
        <v>158</v>
      </c>
      <c r="J19" s="8">
        <f t="shared" si="9"/>
        <v>1222395.4650132863</v>
      </c>
      <c r="K19" s="8" t="s">
        <v>270</v>
      </c>
      <c r="L19" s="12">
        <f t="shared" si="1"/>
        <v>929.0205534100977</v>
      </c>
      <c r="M19" s="8" t="s">
        <v>271</v>
      </c>
      <c r="N19" s="8">
        <f t="shared" si="10"/>
        <v>655.88851070752889</v>
      </c>
      <c r="O19" s="68" t="s">
        <v>91</v>
      </c>
      <c r="P19" s="69" t="s">
        <v>272</v>
      </c>
      <c r="Q19" s="8">
        <f t="shared" si="2"/>
        <v>163.5076174001772</v>
      </c>
      <c r="R19" s="69" t="s">
        <v>273</v>
      </c>
      <c r="S19" s="69" t="s">
        <v>274</v>
      </c>
      <c r="T19" s="8">
        <f t="shared" si="3"/>
        <v>181.15900791496907</v>
      </c>
      <c r="U19" s="69" t="s">
        <v>275</v>
      </c>
      <c r="V19" s="69" t="s">
        <v>276</v>
      </c>
      <c r="W19" s="8">
        <f t="shared" si="4"/>
        <v>588.99903086200197</v>
      </c>
      <c r="X19" s="81" t="s">
        <v>277</v>
      </c>
      <c r="Y19" s="81">
        <f t="shared" si="11"/>
        <v>1.3072E-4</v>
      </c>
      <c r="Z19" s="69" t="s">
        <v>278</v>
      </c>
      <c r="AA19" s="8">
        <f t="shared" si="5"/>
        <v>3.5302781029583712</v>
      </c>
      <c r="AB19" s="69" t="s">
        <v>279</v>
      </c>
      <c r="AC19" s="69" t="s">
        <v>278</v>
      </c>
      <c r="AD19" s="8">
        <f t="shared" si="6"/>
        <v>3.5302781029583712</v>
      </c>
    </row>
    <row r="20" spans="1:30" s="7" customFormat="1" ht="20.100000000000001" customHeight="1">
      <c r="A20" s="7">
        <v>79</v>
      </c>
      <c r="B20" s="7" t="s">
        <v>280</v>
      </c>
      <c r="C20" s="7">
        <v>170222</v>
      </c>
      <c r="D20" s="7">
        <v>1124</v>
      </c>
      <c r="E20" s="7">
        <f t="shared" si="7"/>
        <v>151.44306049822063</v>
      </c>
      <c r="F20" s="7">
        <f t="shared" si="8"/>
        <v>90865.83629893238</v>
      </c>
      <c r="G20" s="7">
        <f t="shared" si="0"/>
        <v>7269266.9039145904</v>
      </c>
      <c r="H20" s="7">
        <v>80</v>
      </c>
      <c r="I20" s="7" t="s">
        <v>281</v>
      </c>
      <c r="J20" s="7">
        <f t="shared" si="9"/>
        <v>2188049.3380782916</v>
      </c>
      <c r="K20" s="7" t="s">
        <v>104</v>
      </c>
      <c r="L20" s="13">
        <f t="shared" si="1"/>
        <v>3719.6838747330958</v>
      </c>
      <c r="M20" s="7" t="s">
        <v>282</v>
      </c>
      <c r="N20" s="7">
        <f t="shared" si="10"/>
        <v>2068.1442343516014</v>
      </c>
      <c r="O20" s="70" t="s">
        <v>198</v>
      </c>
      <c r="P20" s="71" t="s">
        <v>268</v>
      </c>
      <c r="Q20" s="7">
        <f t="shared" si="2"/>
        <v>26.037787123131672</v>
      </c>
      <c r="R20" s="71" t="s">
        <v>183</v>
      </c>
      <c r="S20" s="71" t="s">
        <v>283</v>
      </c>
      <c r="T20" s="7">
        <f t="shared" si="3"/>
        <v>302.78226740327398</v>
      </c>
      <c r="U20" s="71" t="s">
        <v>284</v>
      </c>
      <c r="V20" s="71" t="s">
        <v>285</v>
      </c>
      <c r="W20" s="7">
        <f t="shared" si="4"/>
        <v>1651.5396403814946</v>
      </c>
      <c r="X20" s="82" t="s">
        <v>268</v>
      </c>
      <c r="Y20" s="82">
        <f t="shared" si="11"/>
        <v>1.19E-5</v>
      </c>
      <c r="Z20" s="71" t="s">
        <v>286</v>
      </c>
      <c r="AA20" s="7">
        <f t="shared" si="5"/>
        <v>43.148332946903906</v>
      </c>
      <c r="AB20" s="71" t="s">
        <v>133</v>
      </c>
      <c r="AC20" s="71" t="s">
        <v>287</v>
      </c>
      <c r="AD20" s="7">
        <f t="shared" si="6"/>
        <v>121.26169431629891</v>
      </c>
    </row>
    <row r="21" spans="1:30" s="7" customFormat="1" ht="20.100000000000001" customHeight="1">
      <c r="A21" s="7">
        <v>80</v>
      </c>
      <c r="B21" s="7" t="s">
        <v>280</v>
      </c>
      <c r="C21" s="7">
        <v>91851</v>
      </c>
      <c r="D21" s="7">
        <v>1150</v>
      </c>
      <c r="E21" s="7">
        <f t="shared" si="7"/>
        <v>79.870434782608697</v>
      </c>
      <c r="F21" s="7">
        <f t="shared" si="8"/>
        <v>47922.260869565216</v>
      </c>
      <c r="G21" s="7">
        <f t="shared" si="0"/>
        <v>3833780.8695652173</v>
      </c>
      <c r="H21" s="7">
        <v>80</v>
      </c>
      <c r="I21" s="7" t="s">
        <v>288</v>
      </c>
      <c r="J21" s="7">
        <f t="shared" si="9"/>
        <v>1084959.9860869565</v>
      </c>
      <c r="K21" s="7" t="s">
        <v>141</v>
      </c>
      <c r="L21" s="13">
        <f t="shared" si="1"/>
        <v>1627.4399791304347</v>
      </c>
      <c r="M21" s="7" t="s">
        <v>289</v>
      </c>
      <c r="N21" s="7">
        <f t="shared" si="10"/>
        <v>873.93526879304352</v>
      </c>
      <c r="O21" s="70" t="s">
        <v>290</v>
      </c>
      <c r="P21" s="71" t="s">
        <v>291</v>
      </c>
      <c r="Q21" s="7">
        <f t="shared" si="2"/>
        <v>71.444615083826093</v>
      </c>
      <c r="R21" s="71" t="s">
        <v>292</v>
      </c>
      <c r="S21" s="71" t="s">
        <v>293</v>
      </c>
      <c r="T21" s="7">
        <f t="shared" si="3"/>
        <v>78.605350991999998</v>
      </c>
      <c r="U21" s="71" t="s">
        <v>294</v>
      </c>
      <c r="V21" s="71" t="s">
        <v>295</v>
      </c>
      <c r="W21" s="7">
        <f t="shared" si="4"/>
        <v>646.09367171478266</v>
      </c>
      <c r="X21" s="82" t="s">
        <v>296</v>
      </c>
      <c r="Y21" s="82">
        <f t="shared" si="11"/>
        <v>5.2649999999999999E-5</v>
      </c>
      <c r="Z21" s="71" t="s">
        <v>297</v>
      </c>
      <c r="AA21" s="7">
        <f t="shared" si="5"/>
        <v>11.880311847652173</v>
      </c>
      <c r="AB21" s="71" t="s">
        <v>298</v>
      </c>
      <c r="AC21" s="71" t="s">
        <v>299</v>
      </c>
      <c r="AD21" s="7">
        <f t="shared" si="6"/>
        <v>47.68399138852174</v>
      </c>
    </row>
    <row r="22" spans="1:30" s="7" customFormat="1" ht="20.100000000000001" customHeight="1">
      <c r="A22" s="7">
        <v>81</v>
      </c>
      <c r="B22" s="7" t="s">
        <v>280</v>
      </c>
      <c r="C22" s="7">
        <v>77744</v>
      </c>
      <c r="D22" s="7">
        <v>1139</v>
      </c>
      <c r="E22" s="7">
        <f t="shared" si="7"/>
        <v>68.256365232660229</v>
      </c>
      <c r="F22" s="7">
        <f t="shared" si="8"/>
        <v>40953.81913959614</v>
      </c>
      <c r="G22" s="7">
        <f t="shared" si="0"/>
        <v>3276305.5311676911</v>
      </c>
      <c r="H22" s="7">
        <v>80</v>
      </c>
      <c r="I22" s="7" t="s">
        <v>288</v>
      </c>
      <c r="J22" s="7">
        <f t="shared" si="9"/>
        <v>927194.46532045654</v>
      </c>
      <c r="K22" s="7" t="s">
        <v>141</v>
      </c>
      <c r="L22" s="13">
        <f t="shared" si="1"/>
        <v>1390.7916979806848</v>
      </c>
      <c r="M22" s="7" t="s">
        <v>300</v>
      </c>
      <c r="N22" s="7">
        <f t="shared" si="10"/>
        <v>749.63672521158912</v>
      </c>
      <c r="O22" s="70" t="s">
        <v>301</v>
      </c>
      <c r="P22" s="71" t="s">
        <v>302</v>
      </c>
      <c r="Q22" s="7">
        <f t="shared" si="2"/>
        <v>59.386805503775243</v>
      </c>
      <c r="R22" s="71" t="s">
        <v>204</v>
      </c>
      <c r="S22" s="71" t="s">
        <v>303</v>
      </c>
      <c r="T22" s="7">
        <f t="shared" si="3"/>
        <v>98.885289726426691</v>
      </c>
      <c r="U22" s="71" t="s">
        <v>304</v>
      </c>
      <c r="V22" s="71" t="s">
        <v>305</v>
      </c>
      <c r="W22" s="7">
        <f t="shared" si="4"/>
        <v>534.06401202458301</v>
      </c>
      <c r="X22" s="82" t="s">
        <v>306</v>
      </c>
      <c r="Y22" s="82">
        <f t="shared" si="11"/>
        <v>4.5750000000000001E-5</v>
      </c>
      <c r="Z22" s="71" t="s">
        <v>306</v>
      </c>
      <c r="AA22" s="7">
        <f t="shared" si="5"/>
        <v>42.419146788410885</v>
      </c>
      <c r="AB22" s="71" t="s">
        <v>307</v>
      </c>
      <c r="AC22" s="71" t="s">
        <v>306</v>
      </c>
      <c r="AD22" s="7">
        <f t="shared" si="6"/>
        <v>42.419146788410885</v>
      </c>
    </row>
    <row r="23" spans="1:30" s="7" customFormat="1" ht="20.100000000000001" customHeight="1">
      <c r="A23" s="7">
        <v>82</v>
      </c>
      <c r="B23" s="7" t="s">
        <v>280</v>
      </c>
      <c r="C23" s="7">
        <v>133657</v>
      </c>
      <c r="D23" s="7">
        <v>1164</v>
      </c>
      <c r="E23" s="7">
        <f t="shared" si="7"/>
        <v>114.82560137457045</v>
      </c>
      <c r="F23" s="7">
        <f t="shared" si="8"/>
        <v>68895.360824742267</v>
      </c>
      <c r="G23" s="7">
        <f t="shared" si="0"/>
        <v>5511628.8659793809</v>
      </c>
      <c r="H23" s="7">
        <v>80</v>
      </c>
      <c r="I23" s="7" t="s">
        <v>308</v>
      </c>
      <c r="J23" s="7">
        <f t="shared" si="9"/>
        <v>1499163.0515463918</v>
      </c>
      <c r="K23" s="7" t="s">
        <v>309</v>
      </c>
      <c r="L23" s="13">
        <f t="shared" si="1"/>
        <v>1948.9119670103094</v>
      </c>
      <c r="M23" s="7" t="s">
        <v>310</v>
      </c>
      <c r="N23" s="7">
        <f t="shared" si="10"/>
        <v>1009.5363989113403</v>
      </c>
      <c r="O23" s="70" t="s">
        <v>311</v>
      </c>
      <c r="P23" s="71" t="s">
        <v>312</v>
      </c>
      <c r="Q23" s="7">
        <f t="shared" si="2"/>
        <v>74.253545943092789</v>
      </c>
      <c r="R23" s="71" t="s">
        <v>313</v>
      </c>
      <c r="S23" s="71" t="s">
        <v>314</v>
      </c>
      <c r="T23" s="7">
        <f t="shared" si="3"/>
        <v>100.56385749773196</v>
      </c>
      <c r="U23" s="71" t="s">
        <v>315</v>
      </c>
      <c r="V23" s="71" t="s">
        <v>316</v>
      </c>
      <c r="W23" s="7">
        <f t="shared" si="4"/>
        <v>769.82022696907222</v>
      </c>
      <c r="X23" s="82" t="s">
        <v>317</v>
      </c>
      <c r="Y23" s="82">
        <f t="shared" si="11"/>
        <v>4.6669999999999999E-5</v>
      </c>
      <c r="Z23" s="71" t="s">
        <v>318</v>
      </c>
      <c r="AA23" s="7">
        <f t="shared" si="5"/>
        <v>65.483442091546394</v>
      </c>
      <c r="AB23" s="71" t="s">
        <v>319</v>
      </c>
      <c r="AC23" s="71" t="s">
        <v>320</v>
      </c>
      <c r="AD23" s="7">
        <f t="shared" si="6"/>
        <v>43.655628061030932</v>
      </c>
    </row>
    <row r="24" spans="1:30" s="7" customFormat="1" ht="20.100000000000001" customHeight="1">
      <c r="A24" s="7">
        <v>83</v>
      </c>
      <c r="B24" s="7" t="s">
        <v>280</v>
      </c>
      <c r="C24" s="7">
        <v>65226</v>
      </c>
      <c r="D24" s="7">
        <v>1102</v>
      </c>
      <c r="E24" s="7">
        <f t="shared" si="7"/>
        <v>59.188747731397456</v>
      </c>
      <c r="F24" s="7">
        <f t="shared" si="8"/>
        <v>35513.248638838471</v>
      </c>
      <c r="G24" s="7">
        <f t="shared" si="0"/>
        <v>2841059.8911070777</v>
      </c>
      <c r="H24" s="7">
        <v>80</v>
      </c>
      <c r="I24" s="7" t="s">
        <v>321</v>
      </c>
      <c r="J24" s="7">
        <f t="shared" si="9"/>
        <v>775609.35027223232</v>
      </c>
      <c r="K24" s="7" t="s">
        <v>309</v>
      </c>
      <c r="L24" s="13">
        <f t="shared" si="1"/>
        <v>1008.292155353902</v>
      </c>
      <c r="M24" s="7" t="s">
        <v>322</v>
      </c>
      <c r="N24" s="7">
        <f t="shared" si="10"/>
        <v>531.36996587150634</v>
      </c>
      <c r="O24" s="70" t="s">
        <v>323</v>
      </c>
      <c r="P24" s="71" t="s">
        <v>324</v>
      </c>
      <c r="Q24" s="7">
        <f t="shared" si="2"/>
        <v>14.216919390490018</v>
      </c>
      <c r="R24" s="71" t="s">
        <v>172</v>
      </c>
      <c r="S24" s="71" t="s">
        <v>325</v>
      </c>
      <c r="T24" s="7">
        <f t="shared" si="3"/>
        <v>48.297194241451905</v>
      </c>
      <c r="U24" s="71" t="s">
        <v>122</v>
      </c>
      <c r="V24" s="71" t="s">
        <v>326</v>
      </c>
      <c r="W24" s="7">
        <f t="shared" si="4"/>
        <v>434.57391895753176</v>
      </c>
      <c r="X24" s="82" t="s">
        <v>327</v>
      </c>
      <c r="Y24" s="82">
        <f t="shared" si="11"/>
        <v>1.4689999999999998E-5</v>
      </c>
      <c r="Z24" s="71" t="s">
        <v>328</v>
      </c>
      <c r="AA24" s="7">
        <f t="shared" si="5"/>
        <v>8.570483320508167</v>
      </c>
      <c r="AB24" s="71" t="s">
        <v>329</v>
      </c>
      <c r="AC24" s="71" t="s">
        <v>144</v>
      </c>
      <c r="AD24" s="7">
        <f t="shared" si="6"/>
        <v>17.040137425480943</v>
      </c>
    </row>
    <row r="25" spans="1:30" s="7" customFormat="1" ht="20.100000000000001" customHeight="1">
      <c r="A25" s="7">
        <v>84</v>
      </c>
      <c r="B25" s="7" t="s">
        <v>280</v>
      </c>
      <c r="C25" s="7">
        <v>55153</v>
      </c>
      <c r="D25" s="7">
        <v>1147</v>
      </c>
      <c r="E25" s="7">
        <f t="shared" si="7"/>
        <v>48.08456843940715</v>
      </c>
      <c r="F25" s="7">
        <f t="shared" si="8"/>
        <v>28850.741063644291</v>
      </c>
      <c r="G25" s="7">
        <f t="shared" si="0"/>
        <v>2308059.2850915431</v>
      </c>
      <c r="H25" s="7">
        <v>80</v>
      </c>
      <c r="I25" s="7" t="s">
        <v>321</v>
      </c>
      <c r="J25" s="7">
        <f t="shared" si="9"/>
        <v>630100.18482999131</v>
      </c>
      <c r="K25" s="7" t="s">
        <v>116</v>
      </c>
      <c r="L25" s="13">
        <f t="shared" si="1"/>
        <v>1008.1602957279862</v>
      </c>
      <c r="M25" s="7" t="s">
        <v>330</v>
      </c>
      <c r="N25" s="7">
        <f t="shared" si="10"/>
        <v>409.31308006556242</v>
      </c>
      <c r="O25" s="70" t="s">
        <v>331</v>
      </c>
      <c r="P25" s="71" t="s">
        <v>332</v>
      </c>
      <c r="Q25" s="7">
        <f t="shared" si="2"/>
        <v>32.765209611159555</v>
      </c>
      <c r="R25" s="71" t="s">
        <v>331</v>
      </c>
      <c r="S25" s="71" t="s">
        <v>332</v>
      </c>
      <c r="T25" s="7">
        <f t="shared" si="3"/>
        <v>32.765209611159555</v>
      </c>
      <c r="U25" s="71" t="s">
        <v>333</v>
      </c>
      <c r="V25" s="71" t="s">
        <v>273</v>
      </c>
      <c r="W25" s="7">
        <f t="shared" si="4"/>
        <v>278.25224162092422</v>
      </c>
      <c r="X25" s="82" t="s">
        <v>101</v>
      </c>
      <c r="Y25" s="82">
        <f t="shared" si="11"/>
        <v>3.184E-5</v>
      </c>
      <c r="Z25" s="71" t="s">
        <v>204</v>
      </c>
      <c r="AA25" s="7">
        <f t="shared" si="5"/>
        <v>133.07715903609417</v>
      </c>
      <c r="AB25" s="71" t="s">
        <v>323</v>
      </c>
      <c r="AC25" s="71" t="s">
        <v>334</v>
      </c>
      <c r="AD25" s="7">
        <f t="shared" si="6"/>
        <v>10.888131193862252</v>
      </c>
    </row>
    <row r="26" spans="1:30">
      <c r="J26" s="7"/>
    </row>
    <row r="27" spans="1:30">
      <c r="E27" s="3"/>
      <c r="F27" s="3"/>
      <c r="G27" s="1"/>
    </row>
    <row r="28" spans="1:30">
      <c r="D28" s="4"/>
    </row>
    <row r="29" spans="1:30">
      <c r="D29" s="4"/>
    </row>
    <row r="30" spans="1:30">
      <c r="D30" s="4"/>
    </row>
    <row r="31" spans="1:30">
      <c r="D31" s="4"/>
    </row>
    <row r="32" spans="1:30">
      <c r="D32" s="4"/>
    </row>
    <row r="33" spans="4:4">
      <c r="D33" s="4"/>
    </row>
    <row r="34" spans="4:4">
      <c r="D34" s="6"/>
    </row>
    <row r="35" spans="4:4">
      <c r="D35" s="6"/>
    </row>
    <row r="36" spans="4:4">
      <c r="D36" s="6"/>
    </row>
    <row r="37" spans="4:4">
      <c r="D37" s="6"/>
    </row>
    <row r="38" spans="4:4">
      <c r="D38" s="6"/>
    </row>
    <row r="39" spans="4:4">
      <c r="D39" s="6"/>
    </row>
    <row r="40" spans="4:4">
      <c r="D40" s="8"/>
    </row>
    <row r="41" spans="4:4">
      <c r="D41" s="8"/>
    </row>
    <row r="42" spans="4:4">
      <c r="D42" s="8"/>
    </row>
    <row r="43" spans="4:4">
      <c r="D43" s="8"/>
    </row>
    <row r="44" spans="4:4">
      <c r="D44" s="8"/>
    </row>
    <row r="45" spans="4:4">
      <c r="D45" s="8"/>
    </row>
    <row r="46" spans="4:4">
      <c r="D46" s="7"/>
    </row>
    <row r="47" spans="4:4">
      <c r="D47" s="7"/>
    </row>
    <row r="48" spans="4:4">
      <c r="D48" s="7"/>
    </row>
    <row r="49" spans="4:4">
      <c r="D49" s="7"/>
    </row>
    <row r="50" spans="4:4">
      <c r="D50" s="7"/>
    </row>
    <row r="51" spans="4:4">
      <c r="D51" s="7"/>
    </row>
  </sheetData>
  <pageMargins left="0.7" right="0.7" top="0.75" bottom="0.75" header="0.3" footer="0.3"/>
  <pageSetup paperSize="9" scale="39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83843F62446140B43087719AA3FA42" ma:contentTypeVersion="3" ma:contentTypeDescription="Create a new document." ma:contentTypeScope="" ma:versionID="a2b02d47afae1ddf391ae6527f3c4a21">
  <xsd:schema xmlns:xsd="http://www.w3.org/2001/XMLSchema" xmlns:xs="http://www.w3.org/2001/XMLSchema" xmlns:p="http://schemas.microsoft.com/office/2006/metadata/properties" xmlns:ns2="f3da9a27-8783-4f30-8e1f-ac4eaf480372" targetNamespace="http://schemas.microsoft.com/office/2006/metadata/properties" ma:root="true" ma:fieldsID="53f09811bc5b7618933efac4b9b5e9ea" ns2:_="">
    <xsd:import namespace="f3da9a27-8783-4f30-8e1f-ac4eaf4803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a9a27-8783-4f30-8e1f-ac4eaf4803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304ABB-4987-410B-BB0A-F2D75503FD37}"/>
</file>

<file path=customXml/itemProps2.xml><?xml version="1.0" encoding="utf-8"?>
<ds:datastoreItem xmlns:ds="http://schemas.openxmlformats.org/officeDocument/2006/customXml" ds:itemID="{2C4186D2-D231-498F-8F39-3B894C68871A}"/>
</file>

<file path=customXml/itemProps3.xml><?xml version="1.0" encoding="utf-8"?>
<ds:datastoreItem xmlns:ds="http://schemas.openxmlformats.org/officeDocument/2006/customXml" ds:itemID="{5B7E903B-63C3-44D2-8AAA-0F8AE8775C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Taylah Bennett</dc:creator>
  <cp:keywords/>
  <dc:description/>
  <cp:lastModifiedBy>Deborah Cromer</cp:lastModifiedBy>
  <cp:revision/>
  <dcterms:created xsi:type="dcterms:W3CDTF">2025-10-06T04:32:20Z</dcterms:created>
  <dcterms:modified xsi:type="dcterms:W3CDTF">2026-08-11T03:50:40Z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0x010100B683843F62446140B43087719AA3FA42</vt:lpwstr>
  </property>
</Properties>
</file>